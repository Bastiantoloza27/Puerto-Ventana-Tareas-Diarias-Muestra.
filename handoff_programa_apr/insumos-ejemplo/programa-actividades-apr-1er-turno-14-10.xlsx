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empresassk-my.sharepoint.com/personal/andres_burgos_pvsa_cl/Documents/Respaldo Equipo/Escritorio/Actividades Diarias/OCTUBRE/"/>
    </mc:Choice>
  </mc:AlternateContent>
  <xr:revisionPtr revIDLastSave="2" documentId="8_{1FC6C445-C9E3-4A6F-A1C6-52D0D70D6D79}" xr6:coauthVersionLast="47" xr6:coauthVersionMax="47" xr10:uidLastSave="{553D58FF-F0FD-49D0-993D-BBB400A8CA00}"/>
  <bookViews>
    <workbookView xWindow="-108" yWindow="-108" windowWidth="23256" windowHeight="12456" activeTab="1" xr2:uid="{FAA67843-50EF-4134-BA35-F9DA201400F2}"/>
  </bookViews>
  <sheets>
    <sheet name="Dato" sheetId="1" r:id="rId1"/>
    <sheet name="1ro" sheetId="2" r:id="rId2"/>
  </sheets>
  <definedNames>
    <definedName name="_xlnm.Print_Area" localSheetId="1">'1ro'!$B$7:$H$37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20" i="2" l="1"/>
  <c r="F12" i="2"/>
  <c r="F26" i="2"/>
  <c r="F27" i="2"/>
  <c r="F13" i="2"/>
  <c r="E3" i="2"/>
  <c r="D3" i="2"/>
  <c r="C3" i="2"/>
  <c r="F15" i="2"/>
  <c r="F16" i="2"/>
  <c r="F14" i="2"/>
  <c r="F25" i="2"/>
  <c r="F24" i="2"/>
  <c r="F23" i="2"/>
  <c r="F22" i="2"/>
  <c r="F21" i="2"/>
  <c r="F19" i="2"/>
  <c r="F18" i="2"/>
  <c r="F17" i="2"/>
  <c r="F11" i="2"/>
  <c r="F3" i="2" l="1"/>
</calcChain>
</file>

<file path=xl/sharedStrings.xml><?xml version="1.0" encoding="utf-8"?>
<sst xmlns="http://schemas.openxmlformats.org/spreadsheetml/2006/main" count="264" uniqueCount="153">
  <si>
    <t>ÁREA</t>
  </si>
  <si>
    <t>SITIO/SECTOR
FUNCIÓN</t>
  </si>
  <si>
    <t>PROCESO</t>
  </si>
  <si>
    <t>ACTIVIDAD A DESARROLLAR</t>
  </si>
  <si>
    <t xml:space="preserve">PREVENCIÓN </t>
  </si>
  <si>
    <t>GESTIÓN PREVENTIVA</t>
  </si>
  <si>
    <t>ACTIVIDADES PREVENTIVAS</t>
  </si>
  <si>
    <t>Realizar recorridos preventivos por las instalaciones de PVSA para verificar en terreno las condiciones de seguridad de los distintos procesos operacionales, actividades, tareas y puestos de trabajo ejecutados por personal propio y de empresas colaboradoras. Evaluar el cumplimiento de estándares de prevención de riesgos, controles operacionales, procedimientos e instructivos de trabajo seguro, identificando desviaciones y asesorando a la supervisión para la implementación de medidas correctivas y preventivas.</t>
  </si>
  <si>
    <t>CHARLA DE INICIO DE JORNADA</t>
  </si>
  <si>
    <t>Participar de forma aleatoria y alternada en las charlas de inicio de jornada (charlas de 5 minutos) desarrolladas en los distintos terminales y áreas de PVSA, con el fin de mantenerse informado sobre las actividades operativas y sus riesgos asociados. Asimismo, fomentar la participación de los trabajadores mediante el análisis de los peligros presentes en cada proceso, la revisión de la valoración de riesgos y la verificación del conocimiento y aplicación de las medidas de control establecidas en las MIPER, los Estándares de Prevención de Riesgos y Salud Ocupacional y los Procedimientos de Trabajo Seguro vigentes.</t>
  </si>
  <si>
    <t>OPERACIONES</t>
  </si>
  <si>
    <t>CONTROL
TRANSITO</t>
  </si>
  <si>
    <t>CONTROL TRANSITO</t>
  </si>
  <si>
    <t>Verificar en terreno las actividades desarrolladas por el personal asignado a Control de Tránsito durante el turno, evaluando el cumplimiento de los procedimientos de trabajo, medidas de seguridad y controles operacionales establecidos. Revisar y firmar la charla de inicio de operaciones, verificando que el registro se encuentre correctamente completado y firmado por la totalidad de los trabajadores participantes.</t>
  </si>
  <si>
    <t>SITIO 5</t>
  </si>
  <si>
    <t>DESCARGA CARBÓN</t>
  </si>
  <si>
    <t>Verificar en terreno las actividades asociadas al proceso de descarga de carbón mediante sistema transportador en Sitio 5, evaluando el cumplimiento de los procedimientos de trabajo, controles operacionales y medidas de seguridad establecidas para la operación. Verificar la correcta aplicación de controles asociados a la generación de polvo, operación de sistemas transportadores, tránsito de equipos móviles e interacción persona-equipo. Asesorar a la línea de supervisión ante desviaciones u observaciones detectadas. Revisar y firmar la charla de inicio de operaciones, verificando que el documento se encuentre correctamente completado y firmado por la totalidad de los trabajadores participantes.</t>
  </si>
  <si>
    <t>SITIO 3</t>
  </si>
  <si>
    <t>DESCARGA DE ACERO - ACERO - FIERRO ESTRIADO, BOBINAS, PALANQUILLAS
SITIO 3</t>
  </si>
  <si>
    <t>Verificar en terreno las actividades asociadas al proceso de descarga de acero en bobinas, palanquillas y fierros estriados en Sitio 3, evaluando el cumplimiento de los procedimientos de trabajo, controles críticos de izaje, segregación de áreas, condiciones operacionales y medidas de seguridad establecidas. Asesorar a la línea de supervisión ante desviaciones u observaciones detectadas. Revisar y firmar la charla de inicio de operaciones, verificando que el documento se encuentre correctamente completado y firmado por la totalidad de los trabajadores participantes.</t>
  </si>
  <si>
    <t>DESCARGA DE ACERO - ACERO - FIERRO ESTRIADO, BOBINAS, PALANQUILLAS
SITIO 5</t>
  </si>
  <si>
    <t>Verificar en terreno las actividades asociadas al proceso de descarga de acero en bobinas, palanquillas y fierros estriados en Sitio 5, evaluando el cumplimiento de los procedimientos de trabajo, controles críticos de izaje, segregación de áreas, condiciones operacionales y medidas de seguridad establecidas. Asesorar a la línea de supervisión ante desviaciones u observaciones detectadas. Revisar y firmar la charla de inicio de operaciones, verificando que el documento se encuentre correctamente completado y firmado por la totalidad de los trabajadores participantes.</t>
  </si>
  <si>
    <t>SITIO 2</t>
  </si>
  <si>
    <t>DESCARGA DE ASFALTO
SITIO 2</t>
  </si>
  <si>
    <t>Verificar en terreno las actividades asociadas al proceso de transferencia y descarga de asfalto en Sitio 2, evaluando el cumplimiento de los procedimientos de trabajo, controles operacionales, condiciones de seguridad y medidas preventivas establecidas para la operación. Asesorar a la línea de supervisión ante desviaciones u observaciones detectadas. Revisar y firmar la charla de inicio de operaciones, verificando que el documento se encuentre correctamente completado y firmado por la totalidad de los trabajadores participantes.</t>
  </si>
  <si>
    <t>DESCARGA DE ASFALTO
SITIO 3</t>
  </si>
  <si>
    <t>Verificar en terreno las actividades asociadas al proceso de transferencia y descarga de asfalto en Sitio 3, evaluando el cumplimiento de los procedimientos de trabajo, controles operacionales, condiciones de seguridad y medidas preventivas establecidas para la operación. Asesorar a la línea de supervisión ante desviaciones u observaciones detectadas. Revisar y firmar la charla de inicio de operaciones, verificando que el documento se encuentre correctamente completado y firmado por la totalidad de los trabajadores participantes.</t>
  </si>
  <si>
    <t>DESCARGA DE CEMENTO</t>
  </si>
  <si>
    <t>Verificar en terreno las actividades asociadas al proceso de descarga de Cemento en bigbag en sitio 5 del muelle de PVSA, evaluando el cumplimiento de los procedimientos de trabajo, controles operacionales y medidas de seguridad establecidas para la operación. Verificar la correcta aplicación de controles críticos asociados a maniobras de izaje, manipulación de cargas, tránsito de equipos móviles, segregación de áreas e interacción persona-equipo. Asesorar a la línea de supervisión ante desviaciones u observaciones detectadas. Revisar y firmar la charla de inicio de operaciones, verificando que el documento se encuentre correctamente completado y firmado por la totalidad de los trabajadores participantes.</t>
  </si>
  <si>
    <t>DESCARGA DE CENIZA DE SODA</t>
  </si>
  <si>
    <t>Verificar en terreno las actividades asociadas al proceso de descarga de ceniza de soda en Sitio 3, evaluando el cumplimiento de los procedimientos de trabajo, controles operacionales y medidas de seguridad establecidas para la operación. Verificar la correcta aplicación de controles asociados a la exposición a material particulado, uso de elementos de protección personal y condiciones de trabajo seguras. Asesorar a la línea de supervisión ante desviaciones u observaciones detectadas. Revisar y firmar la charla de inicio de operaciones, verificando que el documento se encuentre correctamente completado y firmado por la totalidad de los trabajadores participantes.</t>
  </si>
  <si>
    <t>DESCARGA DE CLINKER</t>
  </si>
  <si>
    <t>Verificar en terreno las actividades asociadas al proceso de descarga de clinker mediante sistema transportador en Sitio 5, evaluando el cumplimiento de los procedimientos de trabajo, controles operacionales y medidas de seguridad establecidas para la operación. Verificar la correcta aplicación de controles asociados a la generación de polvo, sistemas transportadores, tránsito de equipos y condiciones de trabajo seguras. Asesorar a la línea de supervisión ante desviaciones u observaciones detectadas. Revisar y firmar la charla de inicio de operaciones, verificando que el documento se encuentre correctamente completado y firmado por la totalidad de los trabajadores participantes.</t>
  </si>
  <si>
    <t>DESCARGA DE COMBUSTIBLE - SITIO 3</t>
  </si>
  <si>
    <t>Verificar en terreno las actividades asociadas al proceso de transferencia de combustibles en Sitio 3, evaluando el cumplimiento de los procedimientos de trabajo, controles operacionales y medidas de seguridad establecidas para la operación. Verificar la correcta aplicación de controles críticos asociados a derrames, fuentes de ignición, conexiones de transferencia, sistemas de emergencia y uso de elementos de protección personal. Asesorar a la línea de supervisión ante desviaciones u observaciones detectadas. Revisar y firmar la charla de inicio de operaciones, verificando que el documento se encuentre correctamente completado y firmado por la totalidad de los trabajadores participantes.</t>
  </si>
  <si>
    <t>DESCARGA DE COMBUSTIBLE - SITIO 5</t>
  </si>
  <si>
    <t>Verificar en terreno las actividades asociadas al proceso de transferencia de combustibles en Sitio 5, evaluando el cumplimiento de los procedimientos de trabajo, controles operacionales y medidas de seguridad establecidas para la operación. Verificar la correcta aplicación de controles críticos asociados a derrames, fuentes de ignición, conexiones de transferencia, sistemas de emergencia y uso de elementos de protección personal. Asesorar a la línea de supervisión ante desviaciones u observaciones detectadas. Revisar y firmar la charla de inicio de operaciones, verificando que el documento se encuentre correctamente completado y firmado por la totalidad de los trabajadores participantes.</t>
  </si>
  <si>
    <t>DESCARGA DE GRANOS</t>
  </si>
  <si>
    <t>Verificar en terreno las actividades asociadas al proceso de descarga de granos mediante sistema transportador en Sitio 5, evaluando el cumplimiento de los procedimientos de trabajo, controles operacionales y medidas de seguridad establecidas para la operación. Verificar la correcta aplicación de controles asociados a la generación de polvo, operación de sistemas transportadores, tránsito de equipos, orden y limpieza de las áreas de trabajo y condiciones de trabajo seguras. Asesorar a la línea de supervisión ante desviaciones u observaciones detectadas. Revisar y firmar la charla de inicio de operaciones, verificando que el documento se encuentre correctamente completado y firmado por la totalidad de los trabajadores participantes.</t>
  </si>
  <si>
    <t>EMBARQUE DE CONCENTRADO
SITIO 2</t>
  </si>
  <si>
    <t>Verificar en terreno las actividades asociadas al proceso de embarque de concentrado de cobre en Sitio 2, evaluando el cumplimiento de los procedimientos de trabajo, controles operacionales y medidas de seguridad establecidas para la operación. Verificar la correcta aplicación de controles asociados a la exposición a material particulado, operación de sistemas transportadores, tránsito de equipos móviles, segregación de áreas y control de derrames o pérdidas de material. Asesorar a la línea de supervisión ante desviaciones u observaciones detectadas. Revisar y firmar la charla de inicio de operaciones, verificando que el documento se encuentre correctamente completado y firmado por la totalidad de los trabajadores participantes.</t>
  </si>
  <si>
    <t>EMBARQUE DE CONCENTRADO
SITIO 3</t>
  </si>
  <si>
    <t>Verificar en terreno las actividades asociadas al proceso de embarque de concentrado de cobre en Sitio 3, evaluando el cumplimiento de los procedimientos de trabajo, controles operacionales y medidas de seguridad establecidas para la operación. Verificar la correcta aplicación de controles asociados a la exposición a material particulado, operación de sistemas transportadores, tránsito de equipos móviles, segregación de áreas y control de derrames o pérdidas de material. Asesorar a la línea de supervisión ante desviaciones u observaciones detectadas. Revisar y firmar la charla de inicio de operaciones, verificando que el documento se encuentre correctamente completado y firmado por la totalidad de los trabajadores participantes.</t>
  </si>
  <si>
    <t>EMBARQUE DE PALANQUILLAS</t>
  </si>
  <si>
    <t>Verificar en terreno las actividades asociadas al proceso de embarque de acero (fierro estriado, bobinas y palanquillas) en sitio 5 del muelle de PVSA, evaluando el cumplimiento de los procedimientos de trabajo, controles operacionales y medidas de seguridad establecidas para la operación. Verificar la correcta aplicación de controles críticos asociados a maniobras de izaje, manipulación de cargas, tránsito de equipos móviles, segregación de áreas e interacción persona-equipo. Asesorar a la línea de supervisión ante desviaciones u observaciones detectadas. Revisar y firmar la charla de inicio de operaciones, verificando que el documento se encuentre correctamente completado y firmado por la totalidad de los trabajadores participantes.</t>
  </si>
  <si>
    <t>EMBARQUE DE PETCOKE</t>
  </si>
  <si>
    <t>Verificar en terreno las actividades asociadas al proceso de embarque de petcoke en Sitio 3, evaluando el cumplimiento de los procedimientos de trabajo, controles operacionales y medidas de seguridad establecidas para la operación. Verificar la correcta aplicación de controles asociados a la generación de polvo, operación de sistemas transportadores, tránsito de equipos móviles, segregación de áreas, control de derrames y condiciones de trabajo seguras. Asesorar a la línea de supervisión ante desviaciones u observaciones detectadas. Revisar y firmar la charla de inicio de operaciones, verificando que el documento se encuentre correctamente completado y firmado por la totalidad de los trabajadores participantes.</t>
  </si>
  <si>
    <t>EMERGENCIAS</t>
  </si>
  <si>
    <t>Concurrir de forma inmediata e impostergable a toda emergencia que se produzca durante su turno en las instalaciones de PVSA y que afecte o pueda afectar a las personas, el medio ambiente o los activos de la compañía, asumiendo la respuesta inicial y el control del evento mediante la activación de los planes de emergencia y procedimientos vigentes.</t>
  </si>
  <si>
    <t xml:space="preserve">EVENTOS METEOROLÓGICOS </t>
  </si>
  <si>
    <t>Realizar verificaciones preventivas en las instalaciones de PVSA durante la ocurrencia de eventos meteorológicos, evaluando las condiciones de seguridad de las operaciones en desarrollo, equipos e infraestructura. Identificar oportunamente peligros y condiciones que puedan afectar la seguridad de las personas o la continuidad operacional, informando de inmediato a la jefatura directa cualquier anomalía, desviación o condición de riesgo detectada para su evaluación y control.</t>
  </si>
  <si>
    <t>MATERIALERO PAÑOLERO</t>
  </si>
  <si>
    <t>Verificar en terreno las actividades desarrolladas por el personal asignado como materialero y pañolero de operaciones durante el turno, evaluando el cumplimiento de los procedimientos de trabajo, controles operacionales y medidas de seguridad aplicables a la recepción, entrega, almacenamiento y control de materiales, herramientas y equipos. Verificar el orden y la limpieza de las instalaciones, las condiciones de almacenamiento y la correcta utilización de los elementos de protección personal. Asesorar a la línea de supervisión ante desviaciones u observaciones detectadas. Revisar y firmar la charla de inicio de operaciones, verificando que el documento se encuentre correctamente completado y firmado por la totalidad de los trabajadores participantes.</t>
  </si>
  <si>
    <t>OPERADOR EQUIPOS</t>
  </si>
  <si>
    <t>OPERADOR DE EQUIPOS Y MAQUINARIA PESADA</t>
  </si>
  <si>
    <t>Verificar en terreno las actividades desarrolladas por los operadores de maquinaria pesada durante el turno, evaluando el cumplimiento de los procedimientos de trabajo, controles operacionales y medidas de seguridad establecidas para la operación de equipos móviles. Verificar la correcta aplicación de controles asociados a inspecciones preoperacionales, tránsito interno, interacción persona-equipo, segregación de áreas de trabajo, uso de elementos de protección personal y cumplimiento de las normas de conducción segura. Asesorar a la línea de supervisión ante desviaciones u observaciones detectadas. Revisar y firmar la charla de inicio de operaciones, verificando que el documento se encuentre correctamente completado y firmado por la totalidad de los trabajadores participantes.</t>
  </si>
  <si>
    <t>MANTENCIÓN</t>
  </si>
  <si>
    <t>PROCESOS DE MANTENIMIENTO</t>
  </si>
  <si>
    <t>Verificar en terreno las actividades de mantenimiento programadas para la jornada, evaluando el cumplimiento de los procedimientos de trabajo, permisos asociados, controles operacionales y medidas de seguridad establecidas para las tareas a ejecutar. Verificar la correcta aplicación de controles críticos relacionados con bloqueo y etiquetado de energías (LOTO), trabajos en altura, espacios confinados, trabajos en caliente, izaje de cargas y uso de herramientas y equipos. Asesorar a la línea de supervisión ante desviaciones u observaciones detectadas. Revisar y firmar la charla de inicio de operaciones, verificando que el documento se encuentre correctamente completado y firmado por la totalidad de los trabajadores participantes.</t>
  </si>
  <si>
    <t>CAPACITACIÓN</t>
  </si>
  <si>
    <t>PROGRAMA DE ENTRENAMIENTO Y CAPACITACIÓN</t>
  </si>
  <si>
    <t>PROGRAMA DE ENTRENAMIENTO Y CAPACITACIÓN OPERACIONAL</t>
  </si>
  <si>
    <t>Verificar las condiciones básicas de seguridad bajo las cuales se desarrollan las actividades de capacitación y entrenamiento operacional, asegurando la correcta implementación de los controles críticos definidos. Asimismo, brindar asesoría técnica al responsable de la actividad respecto de las medidas de control necesarias para gestionar las brechas detectadas y garantizar la ejecución segura de las tareas.</t>
  </si>
  <si>
    <t>PROGRAMA PERSONALIZADO DE PREVENCIÓN DE RIESGOS</t>
  </si>
  <si>
    <t>Gestionar y ejecutar, de acuerdo con la disponibilidad operacional del turno, las actividades definidas en el Programa Personalizado de Prevención de Riesgos y Salud Ocupacional, verificando el cumplimiento de los compromisos, acciones preventivas, inspecciones, observaciones de conducta, capacitaciones y demás actividades establecidas en la planificación. Registrar el avance de las actividades ejecutadas y asesorar a la supervisión en la implementación de medidas orientadas al control de riesgos y la mejora continua del desempeño en seguridad y salud ocupacional.</t>
  </si>
  <si>
    <t>TERMINAL COSTA</t>
  </si>
  <si>
    <t>RECEPCIÓN  / EMBARQUE DE CONCENTRADO DE COBRE</t>
  </si>
  <si>
    <t>Verificar en terreno las actividades asociadas a la recepción y/o embarque de concentrado de cobre, u otras operaciones que se encuentren en ejecución en Terminal Costa, evaluando el cumplimiento de los procedimientos de trabajo, controles operacionales y medidas de seguridad establecidas. Verificar la correcta aplicación de controles asociados a la exposición a material particulado, tránsito de equipos móviles, interacción persona-equipo, segregación de áreas, control de derrames y condiciones de trabajo seguras. Asesorar a la línea de supervisión ante desviaciones u observaciones detectadas. Revisar y firmar la charla de inicio de operaciones, verificando que el documento se encuentre correctamente completado y firmado por la totalidad de los trabajadores participantes.</t>
  </si>
  <si>
    <t>TERMINAL GRANOS</t>
  </si>
  <si>
    <t>RECEPCIÓN / DESPACHO DE GRANOS</t>
  </si>
  <si>
    <t>Verificar en terreno las actividades asociadas a la recepción y/o despacho de granos, así como otras operaciones que se encuentren en ejecución en el Terminal de Granos Limpios, evaluando el cumplimiento de los procedimientos de trabajo, controles operacionales y medidas de seguridad establecidas. Verificar la correcta aplicación de controles asociados a la operación de sistemas transportadores, generación de polvo, tránsito de equipos móviles, interacción persona-equipo, orden y limpieza de las áreas de trabajo y condiciones seguras de operación. Asesorar a la línea de supervisión ante desviaciones u observaciones detectadas. Revisar y firmar la charla de inicio de operaciones, verificando que el documento se encuentre correctamente completado y firmado por la totalidad de los trabajadores participantes.</t>
  </si>
  <si>
    <t>TERMINAL MULTICARGA</t>
  </si>
  <si>
    <t>RECEPCIÓN / DESPACHO DE PETCOKE Y/O CENIZA DE SODA</t>
  </si>
  <si>
    <t>Verificar en terreno las actividades asociadas a la recepción y/o despacho de petcoke y ceniza de soda, así como otras operaciones que se encuentren en ejecución en el Terminal Multicarga, evaluando el cumplimiento de los procedimientos de trabajo, controles operacionales y medidas de seguridad establecidas. Verificar la correcta aplicación de controles asociados a la generación de material particulado, exposición a sustancias químicas, tránsito de equipos móviles, interacción persona-equipo, segregación de áreas y condiciones seguras de operación. Asesorar a la línea de supervisión ante desviaciones u observaciones detectadas. Revisar y firmar la charla de inicio de operaciones, verificando que el documento se encuentre correctamente completado y firmado por la totalidad de los trabajadores participantes.</t>
  </si>
  <si>
    <t>TERMINAL DE GRANOS</t>
  </si>
  <si>
    <t>RECEPCIÓN, ACOPIO Y/O DESPACHO DE CEMENTO EN BIGBAG</t>
  </si>
  <si>
    <t>Verificar en terreno las actividades asociadas a la recepción y acopio de cemento en bigbag,  en el Terminal de granos limpios, evaluando el cumplimiento de los procedimientos de trabajo, controles operacionales y medidas de seguridad establecidas. Verificar la correcta aplicación de controles asociados a la generación de material particulado,  tránsito de equipos móviles, interacción persona-equipo, segregación de áreas y condiciones seguras de operación. Asesorar a la línea de supervisión ante desviaciones u observaciones detectadas. Revisar y firmar la charla de inicio de operaciones, verificando que el documento se encuentre correctamente completado y firmado por la totalidad de los trabajadores participantes.</t>
  </si>
  <si>
    <t>TERQUIM</t>
  </si>
  <si>
    <t>RECEPCIÓN, DESCARGA Y/O DESPACHO DE ACERO - FIERRO ESTRIADO, BOBINAS, PALANQUILLAS</t>
  </si>
  <si>
    <t>Verificar en terreno las actividades asociadas al proceso de recepción, descarga y/o despacho de acero (fierro estriado, bobinas y palanquillas) en instalaciones de Terquim, evaluando el cumplimiento de los procedimientos de trabajo, controles operacionales y medidas de seguridad establecidas para la operación. Verificar la correcta aplicación de controles críticos asociados a maniobras de izaje, manipulación de cargas, tránsito de equipos móviles, segregación de áreas e interacción persona-equipo. Asesorar a la línea de supervisión ante desviaciones u observaciones detectadas. Revisar y firmar la charla de inicio de operaciones, verificando que el documento se encuentre correctamente completado y firmado por la totalidad de los trabajadores participantes.</t>
  </si>
  <si>
    <t xml:space="preserve">TRABAJOS GENERALES </t>
  </si>
  <si>
    <t>TRABAJOS GENERALES</t>
  </si>
  <si>
    <t>Verificar en terreno los trabajos generales programados para la jornada, evaluando el cumplimiento de los procedimientos de trabajo, controles operacionales, permisos asociados y medidas de seguridad establecidas para cada actividad. Verificar la correcta aplicación de los controles de riesgo definidos, el uso adecuado de elementos de protección personal, las condiciones seguras de trabajo y el cumplimiento de los estándares de prevención de riesgos vigentes. Asesorar a la línea de supervisión ante desviaciones u observaciones detectadas. Revisar y firmar la charla de inicio de operaciones, verificando que el documento se encuentre correctamente completado y firmado por la totalidad de los trabajadores participantes.</t>
  </si>
  <si>
    <t>Área</t>
  </si>
  <si>
    <t xml:space="preserve">Sitio/Sector/Función </t>
  </si>
  <si>
    <t>Asesor de Turno</t>
  </si>
  <si>
    <t>Abastecimiento</t>
  </si>
  <si>
    <t>Capacitación</t>
  </si>
  <si>
    <t>Arenas Binett Joel</t>
  </si>
  <si>
    <t>Administración</t>
  </si>
  <si>
    <t>Centro de Acopio Terquim</t>
  </si>
  <si>
    <t>Bernal Mena Miguel</t>
  </si>
  <si>
    <t>Mantención</t>
  </si>
  <si>
    <t>Control Tránsito</t>
  </si>
  <si>
    <t xml:space="preserve">Burgos Godoy Andrés </t>
  </si>
  <si>
    <t>Medioambiente</t>
  </si>
  <si>
    <t>Burgos Godoy Ariel</t>
  </si>
  <si>
    <t>Operaciones</t>
  </si>
  <si>
    <t>Gestión Ambiental</t>
  </si>
  <si>
    <t>Campos Torres Rodrigo</t>
  </si>
  <si>
    <t>Prevención de Riesgos</t>
  </si>
  <si>
    <t>Gestión Preventiva</t>
  </si>
  <si>
    <t>González Romero Mario</t>
  </si>
  <si>
    <t>Terminal Costa</t>
  </si>
  <si>
    <t>Maulen Vicencio Benjamín</t>
  </si>
  <si>
    <t>Terminal Granos</t>
  </si>
  <si>
    <t>Materialero/Pañolero</t>
  </si>
  <si>
    <t>Velazquez Acuña Cesar</t>
  </si>
  <si>
    <t>Terminal Multicarga</t>
  </si>
  <si>
    <t xml:space="preserve">Muelle </t>
  </si>
  <si>
    <t>Operador Equipos</t>
  </si>
  <si>
    <t>PVSA</t>
  </si>
  <si>
    <t>Servicios Generales</t>
  </si>
  <si>
    <t>Sitio 2</t>
  </si>
  <si>
    <t>Sitio 3</t>
  </si>
  <si>
    <t>Sitio 5</t>
  </si>
  <si>
    <t>Terminal de Granos</t>
  </si>
  <si>
    <t>ACTIVIDADES PROGRAMADAS</t>
  </si>
  <si>
    <t>ACTIVIDADES EJECUTADAS</t>
  </si>
  <si>
    <t>ACTIVIDADES NO EJECUTADAS</t>
  </si>
  <si>
    <t>PORCENTAJE DE CUMPLIMIENTO</t>
  </si>
  <si>
    <t>PROGRAMACIÓN DE ACTIVIDADES PREVENCIONISTA DE RIESGOS EN TURNO</t>
  </si>
  <si>
    <t>CONTROL DE CUMPLIMIENTO POR TURNO</t>
  </si>
  <si>
    <t>PROGRAMADO</t>
  </si>
  <si>
    <t>ASESOR DE TURNO</t>
  </si>
  <si>
    <t>EJECUTADO</t>
  </si>
  <si>
    <t>NO EJECUTADO</t>
  </si>
  <si>
    <t>EVIDENCIA</t>
  </si>
  <si>
    <t>OBSERVACIONES</t>
  </si>
  <si>
    <t>PROGRAMA PERSONALIZADO DE SEGURIDAD Y SALUD OCUPACIONAL</t>
  </si>
  <si>
    <t>ACTIVIDADES MÍNIMAS POR CARGO</t>
  </si>
  <si>
    <t>CARGO</t>
  </si>
  <si>
    <t>ACTIVIDAD</t>
  </si>
  <si>
    <t>PERIODO</t>
  </si>
  <si>
    <t>CANTIDAD</t>
  </si>
  <si>
    <t>VERIFICADOR</t>
  </si>
  <si>
    <t>Departamento de Prevención de Riesgos.</t>
  </si>
  <si>
    <t>Charlas de seguridad – Capacitación en terreno Charlas de 5 minutos</t>
  </si>
  <si>
    <t>MENSUAL</t>
  </si>
  <si>
    <t>REGISTRO FÍSICO</t>
  </si>
  <si>
    <t>Observación de Conducta</t>
  </si>
  <si>
    <t>SAFEX - MODULO CONDUCTUAL</t>
  </si>
  <si>
    <t>Inspección Planeada de Seguridad</t>
  </si>
  <si>
    <t>SAFEX - MÓDULO REPORTABILIDAD</t>
  </si>
  <si>
    <t>Inspección de Equipos de protección personal</t>
  </si>
  <si>
    <t>SAFEX - MÓDULO LISTAS DE CHEQUEO</t>
  </si>
  <si>
    <t>Reporte de cuasi-accidentes e Investigación de accidentes</t>
  </si>
  <si>
    <t>C/C</t>
  </si>
  <si>
    <t>Cada vez</t>
  </si>
  <si>
    <t>PROCESOS DE ELECTROMECÁNICOS</t>
  </si>
  <si>
    <t>Verificar en terreno las actividades programadas para la jornada, por el equipo de electromcánicos, evaluando el cumplimiento de los procedimientos de trabajo, permisos asociados, controles operacionales y medidas de seguridad establecidas para las tareas a ejecutar. Verificar la correcta aplicación de controles críticos relacionados con bloqueo y etiquetado de energías (LOTO), trabajos en altura, espacios confinados, trabajos en caliente, izaje de cargas y uso de herramientas y equipos. Asesorar a la línea de supervisión ante desviaciones u observaciones detectadas. Revisar y firmar la charla de inicio de operaciones, verificando que el documento se encuentre correctamente completado y firmado por la totalidad de los trabajadores participantes.</t>
  </si>
  <si>
    <r>
      <t xml:space="preserve">Gestionar y ejecutar las capacitaciones programadas del mes, de acuerdo con la disponibilidad operacional del personal y los lineamientos establecidos en el D-008-PR Programa de Entrenamiento de Prevención de Riesgos y Salud Ocupacional. Coordinar la participación de los trabajadores, verificar la correcta realización de las actividades formativas, registrar la asistencia y mantener la evidencia documental correspondiente. 
Capacitación del Mes: </t>
    </r>
    <r>
      <rPr>
        <b/>
        <sz val="9"/>
        <color rgb="FFFF0000"/>
        <rFont val="Aptos"/>
        <family val="2"/>
      </rPr>
      <t>ENTRENAMIENTO BÁSICO DE CONTROL DE DERRAMES   - RIESGOS Y MEDIDAS PREVENTIVAS PARA TRABAJOS EN ALTURA - SALUD OCUPACIONAL RADIACIÓN UV DE ORIGEN SOLAR</t>
    </r>
  </si>
  <si>
    <t>1er turno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</si>
</sst>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Aptos Narrow"/>
      <family val="2"/>
      <scheme val="minor"/>
    </font>
    <font>
      <b/>
      <sz val="10"/>
      <color theme="1"/>
      <name val="Aptos Narrow"/>
      <family val="2"/>
      <scheme val="minor"/>
    </font>
    <font>
      <sz val="10"/>
      <color theme="1"/>
      <name val="Aptos Narrow"/>
      <family val="2"/>
      <scheme val="minor"/>
    </font>
    <font>
      <sz val="9"/>
      <color theme="1"/>
      <name val="Aptos"/>
      <family val="2"/>
    </font>
    <font>
      <b/>
      <sz val="9"/>
      <color rgb="FFFF0000"/>
      <name val="Aptos"/>
      <family val="2"/>
    </font>
    <font>
      <b/>
      <sz val="8"/>
      <color theme="1"/>
      <name val="Aptos Narrow"/>
      <family val="2"/>
      <scheme val="minor"/>
    </font>
    <font>
      <b/>
      <sz val="16"/>
      <color rgb="FFFFC000"/>
      <name val="Aptos"/>
      <family val="2"/>
    </font>
    <font>
      <b/>
      <sz val="10"/>
      <color rgb="FF000000"/>
      <name val="Aptos"/>
      <family val="2"/>
    </font>
    <font>
      <b/>
      <sz val="8"/>
      <color rgb="FFFFC000"/>
      <name val="Aptos"/>
      <family val="2"/>
    </font>
    <font>
      <b/>
      <sz val="14"/>
      <color rgb="FF000000"/>
      <name val="Aptos"/>
      <family val="2"/>
    </font>
    <font>
      <b/>
      <sz val="11"/>
      <color rgb="FFFFC000"/>
      <name val="Aptos Narrow"/>
      <family val="2"/>
      <scheme val="minor"/>
    </font>
    <font>
      <b/>
      <sz val="9"/>
      <color rgb="FFFFC000"/>
      <name val="Aptos"/>
      <family val="2"/>
    </font>
    <font>
      <b/>
      <sz val="11"/>
      <color rgb="FFFFC000"/>
      <name val="Aptos"/>
      <family val="2"/>
    </font>
    <font>
      <sz val="8"/>
      <color theme="1"/>
      <name val="Aptos Display"/>
      <family val="2"/>
      <scheme val="major"/>
    </font>
    <font>
      <sz val="10"/>
      <color theme="1"/>
      <name val="Aptos Display"/>
      <family val="2"/>
      <scheme val="major"/>
    </font>
    <font>
      <b/>
      <sz val="10"/>
      <color rgb="FFFFC000"/>
      <name val="Arial"/>
      <family val="2"/>
    </font>
    <font>
      <b/>
      <sz val="10"/>
      <color theme="1"/>
      <name val="Arial"/>
      <family val="2"/>
    </font>
    <font>
      <b/>
      <sz val="8"/>
      <color rgb="FF000000"/>
      <name val="Arial"/>
      <family val="2"/>
    </font>
    <font>
      <b/>
      <sz val="10"/>
      <color rgb="FF000000"/>
      <name val="Arial"/>
      <family val="2"/>
    </font>
    <font>
      <sz val="11"/>
      <color theme="1"/>
      <name val="Aptos Narrow"/>
      <family val="2"/>
      <scheme val="minor"/>
    </font>
    <font>
      <b/>
      <sz val="11"/>
      <color theme="1"/>
      <name val="Aptos Narrow"/>
      <family val="2"/>
      <scheme val="minor"/>
    </font>
    <font>
      <sz val="24"/>
      <color rgb="FF92D050"/>
      <name val="Aptos Narrow"/>
      <family val="2"/>
      <scheme val="minor"/>
    </font>
    <font>
      <sz val="24"/>
      <color theme="4" tint="-0.24994659260841701"/>
      <name val="Aptos Narrow"/>
      <family val="2"/>
      <scheme val="minor"/>
    </font>
    <font>
      <sz val="24"/>
      <color rgb="FFFF0000"/>
      <name val="Aptos Narrow"/>
      <family val="2"/>
      <scheme val="minor"/>
    </font>
    <font>
      <b/>
      <sz val="20"/>
      <color theme="0"/>
      <name val="Aptos Narrow"/>
      <family val="2"/>
      <scheme val="minor"/>
    </font>
    <font>
      <b/>
      <sz val="20"/>
      <color theme="1"/>
      <name val="Aptos Narrow"/>
      <family val="2"/>
      <scheme val="minor"/>
    </font>
    <font>
      <b/>
      <sz val="11"/>
      <color theme="4"/>
      <name val="Aptos Narrow"/>
      <family val="2"/>
      <scheme val="minor"/>
    </font>
    <font>
      <b/>
      <sz val="11"/>
      <color rgb="FF92D050"/>
      <name val="Aptos Narrow"/>
      <family val="2"/>
      <scheme val="minor"/>
    </font>
    <font>
      <b/>
      <sz val="11"/>
      <color rgb="FFFF0000"/>
      <name val="Aptos Narrow"/>
      <family val="2"/>
      <scheme val="minor"/>
    </font>
    <font>
      <sz val="8"/>
      <name val="Aptos Narrow"/>
      <family val="2"/>
      <scheme val="minor"/>
    </font>
  </fonts>
  <fills count="11">
    <fill>
      <patternFill patternType="none"/>
    </fill>
    <fill>
      <patternFill patternType="gray125"/>
    </fill>
    <fill>
      <patternFill patternType="solid">
        <fgColor rgb="FF0E2841"/>
        <bgColor indexed="64"/>
      </patternFill>
    </fill>
    <fill>
      <patternFill patternType="solid">
        <fgColor rgb="FFD1D1D1"/>
        <bgColor indexed="64"/>
      </patternFill>
    </fill>
    <fill>
      <patternFill patternType="solid">
        <fgColor theme="3"/>
        <bgColor indexed="64"/>
      </patternFill>
    </fill>
    <fill>
      <patternFill patternType="solid">
        <fgColor rgb="FF365F91"/>
        <bgColor indexed="64"/>
      </patternFill>
    </fill>
    <fill>
      <patternFill patternType="solid">
        <fgColor rgb="FF948A54"/>
        <bgColor indexed="64"/>
      </patternFill>
    </fill>
    <fill>
      <patternFill patternType="solid">
        <fgColor rgb="FF92D050"/>
        <bgColor indexed="64"/>
      </patternFill>
    </fill>
    <fill>
      <patternFill patternType="solid">
        <fgColor theme="4" tint="-0.249977111117893"/>
        <bgColor indexed="64"/>
      </patternFill>
    </fill>
    <fill>
      <patternFill patternType="solid">
        <fgColor rgb="FFFF0000"/>
        <bgColor indexed="64"/>
      </patternFill>
    </fill>
    <fill>
      <patternFill patternType="solid">
        <fgColor theme="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rgb="FF000000"/>
      </right>
      <top style="thin">
        <color indexed="64"/>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2">
    <xf numFmtId="0" fontId="0" fillId="0" borderId="0"/>
    <xf numFmtId="9" fontId="19" fillId="0" borderId="0" applyFont="0" applyFill="0" applyBorder="0" applyAlignment="0" applyProtection="0"/>
  </cellStyleXfs>
  <cellXfs count="66">
    <xf numFmtId="0" fontId="0" fillId="0" borderId="0" xfId="0"/>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2" fillId="0" borderId="0" xfId="0" applyFont="1"/>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2" fillId="0" borderId="1" xfId="0" applyFont="1" applyBorder="1" applyAlignment="1">
      <alignment vertical="center"/>
    </xf>
    <xf numFmtId="0" fontId="2" fillId="0" borderId="1" xfId="0" applyFont="1" applyBorder="1" applyAlignment="1">
      <alignment vertical="center" wrapText="1"/>
    </xf>
    <xf numFmtId="0" fontId="1" fillId="0" borderId="0" xfId="0" applyFont="1"/>
    <xf numFmtId="0" fontId="5" fillId="0" borderId="0" xfId="0" applyFont="1" applyAlignment="1">
      <alignment horizontal="center" wrapText="1"/>
    </xf>
    <xf numFmtId="0" fontId="1" fillId="0" borderId="0" xfId="0" applyFont="1" applyAlignment="1">
      <alignment vertical="center"/>
    </xf>
    <xf numFmtId="0" fontId="2" fillId="0" borderId="0" xfId="0" applyFont="1" applyAlignment="1">
      <alignment vertical="center"/>
    </xf>
    <xf numFmtId="0" fontId="0" fillId="0" borderId="0" xfId="0" applyProtection="1">
      <protection locked="0"/>
    </xf>
    <xf numFmtId="9" fontId="21" fillId="0" borderId="1" xfId="1" applyFont="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23" fillId="0" borderId="1" xfId="0" applyFont="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0" borderId="1" xfId="0" applyBorder="1" applyProtection="1">
      <protection locked="0"/>
    </xf>
    <xf numFmtId="0" fontId="21" fillId="0" borderId="1" xfId="0" applyFont="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2" fillId="2" borderId="1" xfId="0" applyFont="1" applyFill="1" applyBorder="1" applyAlignment="1">
      <alignment horizontal="center" vertical="center" wrapText="1"/>
    </xf>
    <xf numFmtId="0" fontId="13" fillId="0" borderId="1" xfId="0" applyFont="1" applyBorder="1" applyAlignment="1">
      <alignment horizontal="center" vertical="center"/>
    </xf>
    <xf numFmtId="0" fontId="13" fillId="0" borderId="1" xfId="0" applyFont="1" applyBorder="1" applyAlignment="1">
      <alignment horizontal="center" vertical="center" wrapText="1"/>
    </xf>
    <xf numFmtId="0" fontId="22" fillId="0" borderId="1" xfId="0" applyFont="1" applyBorder="1" applyAlignment="1">
      <alignment horizontal="center" vertical="center"/>
      <extLst>
        <ext xmlns:xfpb="http://schemas.microsoft.com/office/spreadsheetml/2022/featurepropertybag" uri="{C7286773-470A-42A8-94C5-96B5CB345126}">
          <xfpb:xfComplement i="0"/>
        </ext>
      </extLst>
    </xf>
    <xf numFmtId="0" fontId="16" fillId="0" borderId="1" xfId="0" applyFont="1" applyBorder="1" applyAlignment="1">
      <alignment horizontal="center" vertical="center" wrapText="1"/>
    </xf>
    <xf numFmtId="0" fontId="17" fillId="6" borderId="1" xfId="0" applyFont="1" applyFill="1" applyBorder="1" applyAlignment="1">
      <alignment vertical="center" wrapText="1"/>
    </xf>
    <xf numFmtId="0" fontId="18" fillId="6" borderId="1" xfId="0" applyFont="1" applyFill="1" applyBorder="1" applyAlignment="1">
      <alignment horizontal="center" vertical="center" wrapText="1"/>
    </xf>
    <xf numFmtId="0" fontId="5" fillId="0" borderId="1" xfId="0" applyFont="1" applyBorder="1" applyAlignment="1" applyProtection="1">
      <alignment horizontal="center" vertical="center"/>
      <protection locked="0"/>
    </xf>
    <xf numFmtId="0" fontId="26" fillId="10" borderId="1" xfId="0" applyFont="1" applyFill="1" applyBorder="1" applyAlignment="1" applyProtection="1">
      <alignment horizontal="center" vertical="center" wrapText="1"/>
      <protection locked="0"/>
    </xf>
    <xf numFmtId="0" fontId="27" fillId="10" borderId="1" xfId="0" applyFont="1" applyFill="1" applyBorder="1" applyAlignment="1" applyProtection="1">
      <alignment horizontal="center" vertical="center" wrapText="1"/>
      <protection locked="0"/>
    </xf>
    <xf numFmtId="0" fontId="28" fillId="10" borderId="1" xfId="0" applyFont="1" applyFill="1" applyBorder="1" applyAlignment="1" applyProtection="1">
      <alignment horizontal="center" vertical="center" wrapText="1"/>
      <protection locked="0"/>
    </xf>
    <xf numFmtId="0" fontId="14" fillId="0" borderId="0" xfId="0" applyFont="1" applyAlignment="1">
      <alignment vertical="center" wrapText="1"/>
    </xf>
    <xf numFmtId="0" fontId="0" fillId="0" borderId="1" xfId="0" applyBorder="1" applyAlignment="1" applyProtection="1">
      <alignment horizontal="center" wrapText="1"/>
      <protection locked="0"/>
    </xf>
    <xf numFmtId="0" fontId="0" fillId="0" borderId="1" xfId="0" applyBorder="1" applyAlignment="1" applyProtection="1">
      <alignment horizontal="center" vertical="center" wrapText="1"/>
      <protection locked="0"/>
    </xf>
    <xf numFmtId="0" fontId="0" fillId="0" borderId="1" xfId="0" applyBorder="1" applyAlignment="1" applyProtection="1">
      <alignment horizontal="center"/>
      <protection locked="0"/>
    </xf>
    <xf numFmtId="0" fontId="0" fillId="0" borderId="1" xfId="0" applyBorder="1" applyAlignment="1" applyProtection="1">
      <alignment horizontal="center" vertical="center"/>
      <protection locked="0"/>
    </xf>
    <xf numFmtId="0" fontId="0" fillId="0" borderId="1" xfId="0" applyBorder="1" applyAlignment="1" applyProtection="1">
      <alignment vertical="center"/>
      <protection locked="0"/>
    </xf>
    <xf numFmtId="0" fontId="14" fillId="0" borderId="9" xfId="0" applyFont="1" applyBorder="1" applyAlignment="1">
      <alignment horizontal="center" vertical="center" wrapText="1"/>
    </xf>
    <xf numFmtId="0" fontId="10" fillId="4" borderId="8" xfId="0" applyFont="1" applyFill="1" applyBorder="1" applyAlignment="1">
      <alignment horizontal="center" vertical="center"/>
    </xf>
    <xf numFmtId="0" fontId="8" fillId="4" borderId="11" xfId="0" applyFont="1" applyFill="1" applyBorder="1" applyAlignment="1" applyProtection="1">
      <alignment horizontal="center" vertical="center" wrapText="1"/>
      <protection locked="0"/>
    </xf>
    <xf numFmtId="0" fontId="11" fillId="2" borderId="8" xfId="0" applyFont="1" applyFill="1" applyBorder="1" applyAlignment="1">
      <alignment horizontal="center" vertical="center" wrapText="1"/>
    </xf>
    <xf numFmtId="14" fontId="7" fillId="3" borderId="12" xfId="0" applyNumberFormat="1" applyFont="1" applyFill="1" applyBorder="1" applyAlignment="1" applyProtection="1">
      <alignment horizontal="center" vertical="center" wrapText="1"/>
      <protection locked="0"/>
    </xf>
    <xf numFmtId="14" fontId="7" fillId="3" borderId="11" xfId="0" applyNumberFormat="1" applyFont="1" applyFill="1" applyBorder="1" applyAlignment="1" applyProtection="1">
      <alignment horizontal="center" vertical="center" wrapText="1"/>
      <protection locked="0"/>
    </xf>
    <xf numFmtId="0" fontId="0" fillId="0" borderId="0" xfId="0" applyAlignment="1" applyProtection="1">
      <alignment horizontal="center" vertical="center"/>
      <protection locked="0"/>
    </xf>
    <xf numFmtId="0" fontId="14" fillId="0" borderId="1" xfId="0" applyFont="1" applyBorder="1" applyAlignment="1">
      <alignment horizontal="center" vertical="center" wrapText="1"/>
    </xf>
    <xf numFmtId="0" fontId="3" fillId="0" borderId="1" xfId="0" applyFont="1" applyBorder="1" applyAlignment="1">
      <alignment horizontal="justify" vertical="center" wrapText="1"/>
    </xf>
    <xf numFmtId="0" fontId="14" fillId="0" borderId="1" xfId="0" applyFont="1" applyBorder="1" applyAlignment="1">
      <alignment horizontal="justify" vertical="center" wrapText="1"/>
    </xf>
    <xf numFmtId="0" fontId="24" fillId="8" borderId="1" xfId="0" applyFont="1" applyFill="1" applyBorder="1" applyAlignment="1">
      <alignment horizontal="center" vertical="center"/>
    </xf>
    <xf numFmtId="0" fontId="25" fillId="7" borderId="1" xfId="0" applyFont="1" applyFill="1" applyBorder="1" applyAlignment="1">
      <alignment horizontal="center" vertical="center"/>
    </xf>
    <xf numFmtId="0" fontId="25" fillId="9" borderId="1" xfId="0" applyFont="1" applyFill="1" applyBorder="1" applyAlignment="1">
      <alignment horizontal="center" vertical="center"/>
    </xf>
    <xf numFmtId="9" fontId="25" fillId="0" borderId="1" xfId="1" applyFont="1" applyBorder="1" applyAlignment="1" applyProtection="1">
      <alignment horizontal="center" vertical="center"/>
    </xf>
    <xf numFmtId="0" fontId="20" fillId="7" borderId="3" xfId="0" applyFont="1" applyFill="1" applyBorder="1" applyAlignment="1" applyProtection="1">
      <alignment horizontal="center" vertical="center"/>
      <protection locked="0"/>
    </xf>
    <xf numFmtId="0" fontId="20" fillId="7" borderId="4" xfId="0" applyFont="1" applyFill="1" applyBorder="1" applyAlignment="1" applyProtection="1">
      <alignment horizontal="center" vertical="center"/>
      <protection locked="0"/>
    </xf>
    <xf numFmtId="0" fontId="20" fillId="7" borderId="5" xfId="0" applyFont="1" applyFill="1" applyBorder="1" applyAlignment="1" applyProtection="1">
      <alignment horizontal="center" vertical="center"/>
      <protection locked="0"/>
    </xf>
    <xf numFmtId="0" fontId="20" fillId="7" borderId="6" xfId="0" applyFont="1" applyFill="1" applyBorder="1" applyAlignment="1" applyProtection="1">
      <alignment horizontal="center" vertical="center"/>
      <protection locked="0"/>
    </xf>
    <xf numFmtId="0" fontId="20" fillId="7" borderId="2" xfId="0" applyFont="1" applyFill="1" applyBorder="1" applyAlignment="1" applyProtection="1">
      <alignment horizontal="center" vertical="center"/>
      <protection locked="0"/>
    </xf>
    <xf numFmtId="0" fontId="20" fillId="7" borderId="7" xfId="0" applyFont="1" applyFill="1" applyBorder="1" applyAlignment="1" applyProtection="1">
      <alignment horizontal="center" vertical="center"/>
      <protection locked="0"/>
    </xf>
    <xf numFmtId="0" fontId="6" fillId="2" borderId="3" xfId="0" applyFont="1" applyFill="1" applyBorder="1" applyAlignment="1" applyProtection="1">
      <alignment horizontal="center" vertical="center" wrapText="1"/>
      <protection locked="0"/>
    </xf>
    <xf numFmtId="0" fontId="6" fillId="2" borderId="4" xfId="0" applyFont="1" applyFill="1" applyBorder="1" applyAlignment="1" applyProtection="1">
      <alignment horizontal="center" vertical="center" wrapText="1"/>
      <protection locked="0"/>
    </xf>
    <xf numFmtId="0" fontId="6" fillId="2" borderId="5" xfId="0" applyFont="1" applyFill="1" applyBorder="1" applyAlignment="1" applyProtection="1">
      <alignment horizontal="center" vertical="center" wrapText="1"/>
      <protection locked="0"/>
    </xf>
    <xf numFmtId="0" fontId="10" fillId="4" borderId="10" xfId="0" applyFont="1" applyFill="1" applyBorder="1" applyAlignment="1">
      <alignment horizontal="center" vertical="center"/>
    </xf>
    <xf numFmtId="0" fontId="10" fillId="4" borderId="8" xfId="0" applyFont="1" applyFill="1" applyBorder="1" applyAlignment="1">
      <alignment horizontal="center" vertical="center"/>
    </xf>
    <xf numFmtId="0" fontId="12" fillId="2" borderId="1" xfId="0" applyFont="1" applyFill="1" applyBorder="1" applyAlignment="1">
      <alignment horizontal="center" vertical="center" wrapText="1"/>
    </xf>
    <xf numFmtId="0" fontId="18" fillId="6" borderId="1" xfId="0" applyFont="1" applyFill="1" applyBorder="1" applyAlignment="1">
      <alignment horizontal="center" vertical="center" wrapText="1"/>
    </xf>
    <xf numFmtId="0" fontId="9" fillId="3" borderId="1" xfId="0" applyFont="1" applyFill="1" applyBorder="1" applyAlignment="1" applyProtection="1">
      <alignment horizontal="center" vertical="center" wrapText="1"/>
      <protection locked="0"/>
    </xf>
    <xf numFmtId="0" fontId="15" fillId="5" borderId="1" xfId="0" applyFont="1" applyFill="1" applyBorder="1" applyAlignment="1">
      <alignment horizontal="center" vertical="center" wrapText="1"/>
    </xf>
    <xf numFmtId="0" fontId="16" fillId="0" borderId="1" xfId="0" applyFont="1" applyBorder="1" applyAlignment="1">
      <alignment horizontal="center" vertical="center" wrapText="1"/>
    </xf>
    <xf numFmtId="0" fontId="17" fillId="6" borderId="1" xfId="0" applyFont="1" applyFill="1" applyBorder="1" applyAlignment="1">
      <alignment horizontal="center" vertical="center" wrapText="1"/>
    </xf>
  </cellXfs>
  <cellStyles count="2">
    <cellStyle name="Normal" xfId="0" builtinId="0"/>
    <cellStyle name="Porcentaje" xfId="1" builtinId="5"/>
  </cellStyles>
  <dxfs count="3">
    <dxf>
      <font>
        <color rgb="FF9C0006"/>
      </font>
      <fill>
        <patternFill>
          <bgColor rgb="FFFFC7CE"/>
        </patternFill>
      </fill>
    </dxf>
    <dxf>
      <font>
        <color rgb="FF9C5700"/>
      </font>
      <fill>
        <patternFill>
          <bgColor rgb="FFFFEB9C"/>
        </patternFill>
      </fill>
    </dxf>
    <dxf>
      <font>
        <b/>
        <i val="0"/>
        <color rgb="FF006100"/>
      </font>
      <fill>
        <patternFill>
          <bgColor rgb="FF92D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22/11/relationships/FeaturePropertyBag" Target="featurePropertyBag/featurePropertyBag.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Aptos" panose="020B0004020202020204" pitchFamily="34" charset="0"/>
                <a:ea typeface="+mn-ea"/>
                <a:cs typeface="+mn-cs"/>
              </a:defRPr>
            </a:pPr>
            <a:r>
              <a:rPr lang="es-CL" b="1">
                <a:latin typeface="Aptos" panose="020B0004020202020204" pitchFamily="34" charset="0"/>
              </a:rPr>
              <a:t>Cumplimiento</a:t>
            </a:r>
            <a:r>
              <a:rPr lang="es-CL" b="1" baseline="0">
                <a:latin typeface="Aptos" panose="020B0004020202020204" pitchFamily="34" charset="0"/>
              </a:rPr>
              <a:t> diario</a:t>
            </a:r>
            <a:endParaRPr lang="es-CL" b="1">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Aptos" panose="020B0004020202020204" pitchFamily="34" charset="0"/>
              <a:ea typeface="+mn-ea"/>
              <a:cs typeface="+mn-cs"/>
            </a:defRPr>
          </a:pPr>
          <a:endParaRPr lang="es-CL"/>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91E-4297-B777-6367C3E98165}"/>
              </c:ext>
            </c:extLst>
          </c:dPt>
          <c:dPt>
            <c:idx val="1"/>
            <c:bubble3D val="0"/>
            <c:spPr>
              <a:solidFill>
                <a:srgbClr val="92D050"/>
              </a:solidFill>
              <a:ln w="19050">
                <a:solidFill>
                  <a:schemeClr val="lt1"/>
                </a:solidFill>
              </a:ln>
              <a:effectLst/>
            </c:spPr>
            <c:extLst>
              <c:ext xmlns:c16="http://schemas.microsoft.com/office/drawing/2014/chart" uri="{C3380CC4-5D6E-409C-BE32-E72D297353CC}">
                <c16:uniqueId val="{00000004-9E8E-4487-A255-B9A0FAE0AADA}"/>
              </c:ext>
            </c:extLst>
          </c:dPt>
          <c:dPt>
            <c:idx val="2"/>
            <c:bubble3D val="0"/>
            <c:spPr>
              <a:solidFill>
                <a:srgbClr val="FF0000"/>
              </a:solidFill>
              <a:ln w="19050">
                <a:solidFill>
                  <a:schemeClr val="lt1"/>
                </a:solidFill>
              </a:ln>
              <a:effectLst/>
            </c:spPr>
            <c:extLst>
              <c:ext xmlns:c16="http://schemas.microsoft.com/office/drawing/2014/chart" uri="{C3380CC4-5D6E-409C-BE32-E72D297353CC}">
                <c16:uniqueId val="{00000005-9E8E-4487-A255-B9A0FAE0AAD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6-9E8E-4487-A255-B9A0FAE0AADA}"/>
              </c:ext>
            </c:extLst>
          </c:dPt>
          <c:dLbls>
            <c:dLbl>
              <c:idx val="3"/>
              <c:layout>
                <c:manualLayout>
                  <c:x val="0.22780495854509575"/>
                  <c:y val="0.37870789894279966"/>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tx1">
                          <a:lumMod val="75000"/>
                          <a:lumOff val="25000"/>
                        </a:schemeClr>
                      </a:solidFill>
                      <a:latin typeface="+mn-lt"/>
                      <a:ea typeface="+mn-ea"/>
                      <a:cs typeface="+mn-cs"/>
                    </a:defRPr>
                  </a:pPr>
                  <a:endParaRPr lang="es-CL"/>
                </a:p>
              </c:txPr>
              <c:dLblPos val="bestFit"/>
              <c:showLegendKey val="0"/>
              <c:showVal val="1"/>
              <c:showCatName val="0"/>
              <c:showSerName val="0"/>
              <c:showPercent val="0"/>
              <c:showBubbleSize val="0"/>
              <c:extLst>
                <c:ext xmlns:c15="http://schemas.microsoft.com/office/drawing/2012/chart" uri="{CE6537A1-D6FC-4f65-9D91-7224C49458BB}">
                  <c15:layout>
                    <c:manualLayout>
                      <c:w val="0.20944272117500465"/>
                      <c:h val="0.39297057141600317"/>
                    </c:manualLayout>
                  </c15:layout>
                </c:ext>
                <c:ext xmlns:c16="http://schemas.microsoft.com/office/drawing/2014/chart" uri="{C3380CC4-5D6E-409C-BE32-E72D297353CC}">
                  <c16:uniqueId val="{00000006-9E8E-4487-A255-B9A0FAE0AADA}"/>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s-CL"/>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'1ro'!$C$2:$F$2</c:f>
              <c:strCache>
                <c:ptCount val="4"/>
                <c:pt idx="0">
                  <c:v>ACTIVIDADES PROGRAMADAS</c:v>
                </c:pt>
                <c:pt idx="1">
                  <c:v>ACTIVIDADES EJECUTADAS</c:v>
                </c:pt>
                <c:pt idx="2">
                  <c:v>ACTIVIDADES NO EJECUTADAS</c:v>
                </c:pt>
                <c:pt idx="3">
                  <c:v>PORCENTAJE DE CUMPLIMIENTO</c:v>
                </c:pt>
              </c:strCache>
            </c:strRef>
          </c:cat>
          <c:val>
            <c:numRef>
              <c:f>'1ro'!$C$3:$F$3</c:f>
              <c:numCache>
                <c:formatCode>General</c:formatCode>
                <c:ptCount val="4"/>
                <c:pt idx="0">
                  <c:v>16</c:v>
                </c:pt>
                <c:pt idx="1">
                  <c:v>0</c:v>
                </c:pt>
                <c:pt idx="2">
                  <c:v>0</c:v>
                </c:pt>
                <c:pt idx="3" formatCode="0%">
                  <c:v>0</c:v>
                </c:pt>
              </c:numCache>
            </c:numRef>
          </c:val>
          <c:extLst>
            <c:ext xmlns:c16="http://schemas.microsoft.com/office/drawing/2014/chart" uri="{C3380CC4-5D6E-409C-BE32-E72D297353CC}">
              <c16:uniqueId val="{00000000-9E8E-4487-A255-B9A0FAE0AADA}"/>
            </c:ext>
          </c:extLst>
        </c:ser>
        <c:dLbls>
          <c:showLegendKey val="0"/>
          <c:showVal val="0"/>
          <c:showCatName val="0"/>
          <c:showSerName val="0"/>
          <c:showPercent val="0"/>
          <c:showBubbleSize val="0"/>
          <c:showLeaderLines val="1"/>
        </c:dLbls>
        <c:firstSliceAng val="0"/>
        <c:extLst>
          <c:ext xmlns:c15="http://schemas.microsoft.com/office/drawing/2012/chart" uri="{02D57815-91ED-43cb-92C2-25804820EDAC}">
            <c15:filteredPieSeries>
              <c15:ser>
                <c:idx val="1"/>
                <c:order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9-D91E-4297-B777-6367C3E9816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D91E-4297-B777-6367C3E9816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D-D91E-4297-B777-6367C3E9816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F-D91E-4297-B777-6367C3E98165}"/>
                    </c:ext>
                  </c:extLst>
                </c:dPt>
                <c:cat>
                  <c:strRef>
                    <c:extLst>
                      <c:ext uri="{02D57815-91ED-43cb-92C2-25804820EDAC}">
                        <c15:formulaRef>
                          <c15:sqref>'1ro'!$C$2:$F$2</c15:sqref>
                        </c15:formulaRef>
                      </c:ext>
                    </c:extLst>
                    <c:strCache>
                      <c:ptCount val="4"/>
                      <c:pt idx="0">
                        <c:v>ACTIVIDADES PROGRAMADAS</c:v>
                      </c:pt>
                      <c:pt idx="1">
                        <c:v>ACTIVIDADES EJECUTADAS</c:v>
                      </c:pt>
                      <c:pt idx="2">
                        <c:v>ACTIVIDADES NO EJECUTADAS</c:v>
                      </c:pt>
                      <c:pt idx="3">
                        <c:v>PORCENTAJE DE CUMPLIMIENTO</c:v>
                      </c:pt>
                    </c:strCache>
                  </c:strRef>
                </c:cat>
                <c:val>
                  <c:numRef>
                    <c:extLst>
                      <c:ext uri="{02D57815-91ED-43cb-92C2-25804820EDAC}">
                        <c15:formulaRef>
                          <c15:sqref>'1ro'!$C$4:$F$4</c15:sqref>
                        </c15:formulaRef>
                      </c:ext>
                    </c:extLst>
                    <c:numCache>
                      <c:formatCode>General</c:formatCode>
                      <c:ptCount val="4"/>
                    </c:numCache>
                  </c:numRef>
                </c:val>
                <c:extLst>
                  <c:ext xmlns:c16="http://schemas.microsoft.com/office/drawing/2014/chart" uri="{C3380CC4-5D6E-409C-BE32-E72D297353CC}">
                    <c16:uniqueId val="{00000001-9E8E-4487-A255-B9A0FAE0AADA}"/>
                  </c:ext>
                </c:extLst>
              </c15:ser>
            </c15:filteredPieSeries>
            <c15:filteredPieSeries>
              <c15:ser>
                <c:idx val="2"/>
                <c:order val="2"/>
                <c:dPt>
                  <c:idx val="0"/>
                  <c:bubble3D val="0"/>
                  <c:spPr>
                    <a:solidFill>
                      <a:schemeClr val="accent1"/>
                    </a:solidFill>
                    <a:ln w="19050">
                      <a:solidFill>
                        <a:schemeClr val="lt1"/>
                      </a:solidFill>
                    </a:ln>
                    <a:effectLst/>
                  </c:spPr>
                  <c:extLst xmlns:c15="http://schemas.microsoft.com/office/drawing/2012/chart">
                    <c:ext xmlns:c16="http://schemas.microsoft.com/office/drawing/2014/chart" uri="{C3380CC4-5D6E-409C-BE32-E72D297353CC}">
                      <c16:uniqueId val="{00000011-D91E-4297-B777-6367C3E98165}"/>
                    </c:ext>
                  </c:extLst>
                </c:dPt>
                <c:dPt>
                  <c:idx val="1"/>
                  <c:bubble3D val="0"/>
                  <c:spPr>
                    <a:solidFill>
                      <a:schemeClr val="accent2"/>
                    </a:solidFill>
                    <a:ln w="19050">
                      <a:solidFill>
                        <a:schemeClr val="lt1"/>
                      </a:solidFill>
                    </a:ln>
                    <a:effectLst/>
                  </c:spPr>
                  <c:extLst xmlns:c15="http://schemas.microsoft.com/office/drawing/2012/chart">
                    <c:ext xmlns:c16="http://schemas.microsoft.com/office/drawing/2014/chart" uri="{C3380CC4-5D6E-409C-BE32-E72D297353CC}">
                      <c16:uniqueId val="{00000013-D91E-4297-B777-6367C3E98165}"/>
                    </c:ext>
                  </c:extLst>
                </c:dPt>
                <c:dPt>
                  <c:idx val="2"/>
                  <c:bubble3D val="0"/>
                  <c:spPr>
                    <a:solidFill>
                      <a:schemeClr val="accent3"/>
                    </a:solidFill>
                    <a:ln w="19050">
                      <a:solidFill>
                        <a:schemeClr val="lt1"/>
                      </a:solidFill>
                    </a:ln>
                    <a:effectLst/>
                  </c:spPr>
                  <c:extLst xmlns:c15="http://schemas.microsoft.com/office/drawing/2012/chart">
                    <c:ext xmlns:c16="http://schemas.microsoft.com/office/drawing/2014/chart" uri="{C3380CC4-5D6E-409C-BE32-E72D297353CC}">
                      <c16:uniqueId val="{00000015-D91E-4297-B777-6367C3E98165}"/>
                    </c:ext>
                  </c:extLst>
                </c:dPt>
                <c:dPt>
                  <c:idx val="3"/>
                  <c:bubble3D val="0"/>
                  <c:spPr>
                    <a:solidFill>
                      <a:schemeClr val="accent4"/>
                    </a:solidFill>
                    <a:ln w="19050">
                      <a:solidFill>
                        <a:schemeClr val="lt1"/>
                      </a:solidFill>
                    </a:ln>
                    <a:effectLst/>
                  </c:spPr>
                  <c:extLst xmlns:c15="http://schemas.microsoft.com/office/drawing/2012/chart">
                    <c:ext xmlns:c16="http://schemas.microsoft.com/office/drawing/2014/chart" uri="{C3380CC4-5D6E-409C-BE32-E72D297353CC}">
                      <c16:uniqueId val="{00000017-D91E-4297-B777-6367C3E98165}"/>
                    </c:ext>
                  </c:extLst>
                </c:dPt>
                <c:cat>
                  <c:strRef>
                    <c:extLst xmlns:c15="http://schemas.microsoft.com/office/drawing/2012/chart">
                      <c:ext xmlns:c15="http://schemas.microsoft.com/office/drawing/2012/chart" uri="{02D57815-91ED-43cb-92C2-25804820EDAC}">
                        <c15:formulaRef>
                          <c15:sqref>'1ro'!$C$2:$F$2</c15:sqref>
                        </c15:formulaRef>
                      </c:ext>
                    </c:extLst>
                    <c:strCache>
                      <c:ptCount val="4"/>
                      <c:pt idx="0">
                        <c:v>ACTIVIDADES PROGRAMADAS</c:v>
                      </c:pt>
                      <c:pt idx="1">
                        <c:v>ACTIVIDADES EJECUTADAS</c:v>
                      </c:pt>
                      <c:pt idx="2">
                        <c:v>ACTIVIDADES NO EJECUTADAS</c:v>
                      </c:pt>
                      <c:pt idx="3">
                        <c:v>PORCENTAJE DE CUMPLIMIENTO</c:v>
                      </c:pt>
                    </c:strCache>
                  </c:strRef>
                </c:cat>
                <c:val>
                  <c:numRef>
                    <c:extLst xmlns:c15="http://schemas.microsoft.com/office/drawing/2012/chart">
                      <c:ext xmlns:c15="http://schemas.microsoft.com/office/drawing/2012/chart" uri="{02D57815-91ED-43cb-92C2-25804820EDAC}">
                        <c15:formulaRef>
                          <c15:sqref>'1ro'!$C$5:$F$5</c15:sqref>
                        </c15:formulaRef>
                      </c:ext>
                    </c:extLst>
                    <c:numCache>
                      <c:formatCode>General</c:formatCode>
                      <c:ptCount val="4"/>
                    </c:numCache>
                  </c:numRef>
                </c:val>
                <c:extLst xmlns:c15="http://schemas.microsoft.com/office/drawing/2012/chart">
                  <c:ext xmlns:c16="http://schemas.microsoft.com/office/drawing/2014/chart" uri="{C3380CC4-5D6E-409C-BE32-E72D297353CC}">
                    <c16:uniqueId val="{00000002-9E8E-4487-A255-B9A0FAE0AADA}"/>
                  </c:ext>
                </c:extLst>
              </c15:ser>
            </c15:filteredPieSeries>
            <c15:filteredPieSeries>
              <c15:ser>
                <c:idx val="3"/>
                <c:order val="3"/>
                <c:dPt>
                  <c:idx val="0"/>
                  <c:bubble3D val="0"/>
                  <c:spPr>
                    <a:solidFill>
                      <a:schemeClr val="accent1"/>
                    </a:solidFill>
                    <a:ln w="19050">
                      <a:solidFill>
                        <a:schemeClr val="lt1"/>
                      </a:solidFill>
                    </a:ln>
                    <a:effectLst/>
                  </c:spPr>
                  <c:extLst xmlns:c15="http://schemas.microsoft.com/office/drawing/2012/chart">
                    <c:ext xmlns:c16="http://schemas.microsoft.com/office/drawing/2014/chart" uri="{C3380CC4-5D6E-409C-BE32-E72D297353CC}">
                      <c16:uniqueId val="{00000019-D91E-4297-B777-6367C3E98165}"/>
                    </c:ext>
                  </c:extLst>
                </c:dPt>
                <c:dPt>
                  <c:idx val="1"/>
                  <c:bubble3D val="0"/>
                  <c:spPr>
                    <a:solidFill>
                      <a:schemeClr val="accent2"/>
                    </a:solidFill>
                    <a:ln w="19050">
                      <a:solidFill>
                        <a:schemeClr val="lt1"/>
                      </a:solidFill>
                    </a:ln>
                    <a:effectLst/>
                  </c:spPr>
                  <c:extLst xmlns:c15="http://schemas.microsoft.com/office/drawing/2012/chart">
                    <c:ext xmlns:c16="http://schemas.microsoft.com/office/drawing/2014/chart" uri="{C3380CC4-5D6E-409C-BE32-E72D297353CC}">
                      <c16:uniqueId val="{0000001B-D91E-4297-B777-6367C3E98165}"/>
                    </c:ext>
                  </c:extLst>
                </c:dPt>
                <c:dPt>
                  <c:idx val="2"/>
                  <c:bubble3D val="0"/>
                  <c:spPr>
                    <a:solidFill>
                      <a:schemeClr val="accent3"/>
                    </a:solidFill>
                    <a:ln w="19050">
                      <a:solidFill>
                        <a:schemeClr val="lt1"/>
                      </a:solidFill>
                    </a:ln>
                    <a:effectLst/>
                  </c:spPr>
                  <c:extLst xmlns:c15="http://schemas.microsoft.com/office/drawing/2012/chart">
                    <c:ext xmlns:c16="http://schemas.microsoft.com/office/drawing/2014/chart" uri="{C3380CC4-5D6E-409C-BE32-E72D297353CC}">
                      <c16:uniqueId val="{0000001D-D91E-4297-B777-6367C3E98165}"/>
                    </c:ext>
                  </c:extLst>
                </c:dPt>
                <c:dPt>
                  <c:idx val="3"/>
                  <c:bubble3D val="0"/>
                  <c:spPr>
                    <a:solidFill>
                      <a:schemeClr val="accent4"/>
                    </a:solidFill>
                    <a:ln w="19050">
                      <a:solidFill>
                        <a:schemeClr val="lt1"/>
                      </a:solidFill>
                    </a:ln>
                    <a:effectLst/>
                  </c:spPr>
                  <c:extLst xmlns:c15="http://schemas.microsoft.com/office/drawing/2012/chart">
                    <c:ext xmlns:c16="http://schemas.microsoft.com/office/drawing/2014/chart" uri="{C3380CC4-5D6E-409C-BE32-E72D297353CC}">
                      <c16:uniqueId val="{0000001F-D91E-4297-B777-6367C3E98165}"/>
                    </c:ext>
                  </c:extLst>
                </c:dPt>
                <c:cat>
                  <c:strRef>
                    <c:extLst xmlns:c15="http://schemas.microsoft.com/office/drawing/2012/chart">
                      <c:ext xmlns:c15="http://schemas.microsoft.com/office/drawing/2012/chart" uri="{02D57815-91ED-43cb-92C2-25804820EDAC}">
                        <c15:formulaRef>
                          <c15:sqref>'1ro'!$C$2:$F$2</c15:sqref>
                        </c15:formulaRef>
                      </c:ext>
                    </c:extLst>
                    <c:strCache>
                      <c:ptCount val="4"/>
                      <c:pt idx="0">
                        <c:v>ACTIVIDADES PROGRAMADAS</c:v>
                      </c:pt>
                      <c:pt idx="1">
                        <c:v>ACTIVIDADES EJECUTADAS</c:v>
                      </c:pt>
                      <c:pt idx="2">
                        <c:v>ACTIVIDADES NO EJECUTADAS</c:v>
                      </c:pt>
                      <c:pt idx="3">
                        <c:v>PORCENTAJE DE CUMPLIMIENTO</c:v>
                      </c:pt>
                    </c:strCache>
                  </c:strRef>
                </c:cat>
                <c:val>
                  <c:numRef>
                    <c:extLst xmlns:c15="http://schemas.microsoft.com/office/drawing/2012/chart">
                      <c:ext xmlns:c15="http://schemas.microsoft.com/office/drawing/2012/chart" uri="{02D57815-91ED-43cb-92C2-25804820EDAC}">
                        <c15:formulaRef>
                          <c15:sqref>'1ro'!$C$6:$F$6</c15:sqref>
                        </c15:formulaRef>
                      </c:ext>
                    </c:extLst>
                    <c:numCache>
                      <c:formatCode>General</c:formatCode>
                      <c:ptCount val="4"/>
                    </c:numCache>
                  </c:numRef>
                </c:val>
                <c:extLst xmlns:c15="http://schemas.microsoft.com/office/drawing/2012/chart">
                  <c:ext xmlns:c16="http://schemas.microsoft.com/office/drawing/2014/chart" uri="{C3380CC4-5D6E-409C-BE32-E72D297353CC}">
                    <c16:uniqueId val="{00000003-9E8E-4487-A255-B9A0FAE0AADA}"/>
                  </c:ext>
                </c:extLst>
              </c15:ser>
            </c15:filteredPieSeries>
          </c:ext>
        </c:extLst>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106680</xdr:colOff>
      <xdr:row>0</xdr:row>
      <xdr:rowOff>22860</xdr:rowOff>
    </xdr:from>
    <xdr:to>
      <xdr:col>8</xdr:col>
      <xdr:colOff>297180</xdr:colOff>
      <xdr:row>6</xdr:row>
      <xdr:rowOff>106680</xdr:rowOff>
    </xdr:to>
    <xdr:graphicFrame macro="">
      <xdr:nvGraphicFramePr>
        <xdr:cNvPr id="2" name="Gráfico 1">
          <a:extLst>
            <a:ext uri="{FF2B5EF4-FFF2-40B4-BE49-F238E27FC236}">
              <a16:creationId xmlns:a16="http://schemas.microsoft.com/office/drawing/2014/main" id="{3F4A0B7D-33BA-B1DA-C30E-1EB23351D0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6682D-5AA0-4C8B-8B1B-2D3C1EAEF06F}">
  <dimension ref="A3:D62"/>
  <sheetViews>
    <sheetView topLeftCell="A21" workbookViewId="0">
      <selection activeCell="D29" sqref="D29"/>
    </sheetView>
  </sheetViews>
  <sheetFormatPr baseColWidth="10" defaultColWidth="11.5546875" defaultRowHeight="13.8" x14ac:dyDescent="0.3"/>
  <cols>
    <col min="1" max="1" width="17.6640625" style="3" customWidth="1"/>
    <col min="2" max="2" width="20.5546875" style="3" customWidth="1"/>
    <col min="3" max="3" width="28.33203125" style="12" customWidth="1"/>
    <col min="4" max="4" width="78.109375" style="3" customWidth="1"/>
    <col min="5" max="5" width="11.5546875" style="3"/>
    <col min="6" max="6" width="27.109375" style="3" customWidth="1"/>
    <col min="7" max="16384" width="11.5546875" style="3"/>
  </cols>
  <sheetData>
    <row r="3" spans="1:4" ht="27.6" x14ac:dyDescent="0.3">
      <c r="A3" s="1" t="s">
        <v>0</v>
      </c>
      <c r="B3" s="2" t="s">
        <v>1</v>
      </c>
      <c r="C3" s="1" t="s">
        <v>2</v>
      </c>
      <c r="D3" s="1" t="s">
        <v>3</v>
      </c>
    </row>
    <row r="4" spans="1:4" ht="79.95" customHeight="1" x14ac:dyDescent="0.3">
      <c r="A4" s="4" t="s">
        <v>4</v>
      </c>
      <c r="B4" s="5" t="s">
        <v>5</v>
      </c>
      <c r="C4" s="6" t="s">
        <v>6</v>
      </c>
      <c r="D4" s="43" t="s">
        <v>7</v>
      </c>
    </row>
    <row r="5" spans="1:4" ht="79.95" customHeight="1" x14ac:dyDescent="0.3">
      <c r="A5" s="4" t="s">
        <v>4</v>
      </c>
      <c r="B5" s="5" t="s">
        <v>5</v>
      </c>
      <c r="C5" s="6" t="s">
        <v>8</v>
      </c>
      <c r="D5" s="43" t="s">
        <v>9</v>
      </c>
    </row>
    <row r="6" spans="1:4" ht="75.599999999999994" customHeight="1" x14ac:dyDescent="0.3">
      <c r="A6" s="4" t="s">
        <v>10</v>
      </c>
      <c r="B6" s="5" t="s">
        <v>11</v>
      </c>
      <c r="C6" s="7" t="s">
        <v>12</v>
      </c>
      <c r="D6" s="43" t="s">
        <v>13</v>
      </c>
    </row>
    <row r="7" spans="1:4" ht="71.400000000000006" customHeight="1" x14ac:dyDescent="0.3">
      <c r="A7" s="4" t="s">
        <v>10</v>
      </c>
      <c r="B7" s="4" t="s">
        <v>14</v>
      </c>
      <c r="C7" s="7" t="s">
        <v>15</v>
      </c>
      <c r="D7" s="43" t="s">
        <v>16</v>
      </c>
    </row>
    <row r="8" spans="1:4" ht="118.95" customHeight="1" x14ac:dyDescent="0.3">
      <c r="A8" s="4" t="s">
        <v>10</v>
      </c>
      <c r="B8" s="4" t="s">
        <v>17</v>
      </c>
      <c r="C8" s="8" t="s">
        <v>18</v>
      </c>
      <c r="D8" s="43" t="s">
        <v>19</v>
      </c>
    </row>
    <row r="9" spans="1:4" ht="100.2" customHeight="1" x14ac:dyDescent="0.3">
      <c r="A9" s="4" t="s">
        <v>10</v>
      </c>
      <c r="B9" s="4" t="s">
        <v>14</v>
      </c>
      <c r="C9" s="8" t="s">
        <v>20</v>
      </c>
      <c r="D9" s="43" t="s">
        <v>21</v>
      </c>
    </row>
    <row r="10" spans="1:4" ht="100.2" customHeight="1" x14ac:dyDescent="0.3">
      <c r="A10" s="4" t="s">
        <v>10</v>
      </c>
      <c r="B10" s="4" t="s">
        <v>22</v>
      </c>
      <c r="C10" s="8" t="s">
        <v>23</v>
      </c>
      <c r="D10" s="43" t="s">
        <v>24</v>
      </c>
    </row>
    <row r="11" spans="1:4" ht="85.95" customHeight="1" x14ac:dyDescent="0.3">
      <c r="A11" s="4" t="s">
        <v>10</v>
      </c>
      <c r="B11" s="4" t="s">
        <v>17</v>
      </c>
      <c r="C11" s="8" t="s">
        <v>25</v>
      </c>
      <c r="D11" s="43" t="s">
        <v>26</v>
      </c>
    </row>
    <row r="12" spans="1:4" ht="87" customHeight="1" x14ac:dyDescent="0.3">
      <c r="A12" s="4" t="s">
        <v>10</v>
      </c>
      <c r="B12" s="4" t="s">
        <v>14</v>
      </c>
      <c r="C12" s="7" t="s">
        <v>27</v>
      </c>
      <c r="D12" s="43" t="s">
        <v>28</v>
      </c>
    </row>
    <row r="13" spans="1:4" ht="100.2" customHeight="1" x14ac:dyDescent="0.3">
      <c r="A13" s="4" t="s">
        <v>10</v>
      </c>
      <c r="B13" s="4" t="s">
        <v>17</v>
      </c>
      <c r="C13" s="7" t="s">
        <v>29</v>
      </c>
      <c r="D13" s="43" t="s">
        <v>30</v>
      </c>
    </row>
    <row r="14" spans="1:4" ht="100.2" customHeight="1" x14ac:dyDescent="0.3">
      <c r="A14" s="4" t="s">
        <v>10</v>
      </c>
      <c r="B14" s="4" t="s">
        <v>14</v>
      </c>
      <c r="C14" s="7" t="s">
        <v>31</v>
      </c>
      <c r="D14" s="43" t="s">
        <v>32</v>
      </c>
    </row>
    <row r="15" spans="1:4" ht="100.2" customHeight="1" x14ac:dyDescent="0.3">
      <c r="A15" s="4" t="s">
        <v>10</v>
      </c>
      <c r="B15" s="4" t="s">
        <v>17</v>
      </c>
      <c r="C15" s="8" t="s">
        <v>33</v>
      </c>
      <c r="D15" s="43" t="s">
        <v>34</v>
      </c>
    </row>
    <row r="16" spans="1:4" ht="100.2" customHeight="1" x14ac:dyDescent="0.3">
      <c r="A16" s="4" t="s">
        <v>10</v>
      </c>
      <c r="B16" s="4" t="s">
        <v>14</v>
      </c>
      <c r="C16" s="8" t="s">
        <v>35</v>
      </c>
      <c r="D16" s="43" t="s">
        <v>36</v>
      </c>
    </row>
    <row r="17" spans="1:4" ht="113.4" customHeight="1" x14ac:dyDescent="0.3">
      <c r="A17" s="4" t="s">
        <v>10</v>
      </c>
      <c r="B17" s="4" t="s">
        <v>14</v>
      </c>
      <c r="C17" s="7" t="s">
        <v>37</v>
      </c>
      <c r="D17" s="43" t="s">
        <v>38</v>
      </c>
    </row>
    <row r="18" spans="1:4" ht="116.4" customHeight="1" x14ac:dyDescent="0.3">
      <c r="A18" s="4" t="s">
        <v>10</v>
      </c>
      <c r="B18" s="4" t="s">
        <v>22</v>
      </c>
      <c r="C18" s="8" t="s">
        <v>39</v>
      </c>
      <c r="D18" s="43" t="s">
        <v>40</v>
      </c>
    </row>
    <row r="19" spans="1:4" ht="120" customHeight="1" x14ac:dyDescent="0.3">
      <c r="A19" s="4" t="s">
        <v>10</v>
      </c>
      <c r="B19" s="4" t="s">
        <v>17</v>
      </c>
      <c r="C19" s="8" t="s">
        <v>41</v>
      </c>
      <c r="D19" s="43" t="s">
        <v>42</v>
      </c>
    </row>
    <row r="20" spans="1:4" ht="117.6" customHeight="1" x14ac:dyDescent="0.3">
      <c r="A20" s="4" t="s">
        <v>10</v>
      </c>
      <c r="B20" s="4" t="s">
        <v>14</v>
      </c>
      <c r="C20" s="7" t="s">
        <v>43</v>
      </c>
      <c r="D20" s="43" t="s">
        <v>44</v>
      </c>
    </row>
    <row r="21" spans="1:4" ht="111" customHeight="1" x14ac:dyDescent="0.3">
      <c r="A21" s="4" t="s">
        <v>10</v>
      </c>
      <c r="B21" s="4" t="s">
        <v>17</v>
      </c>
      <c r="C21" s="7" t="s">
        <v>45</v>
      </c>
      <c r="D21" s="43" t="s">
        <v>46</v>
      </c>
    </row>
    <row r="22" spans="1:4" ht="111" customHeight="1" x14ac:dyDescent="0.3">
      <c r="A22" s="4" t="s">
        <v>47</v>
      </c>
      <c r="B22" s="4" t="s">
        <v>47</v>
      </c>
      <c r="C22" s="8" t="s">
        <v>47</v>
      </c>
      <c r="D22" s="43" t="s">
        <v>48</v>
      </c>
    </row>
    <row r="23" spans="1:4" ht="111" customHeight="1" x14ac:dyDescent="0.3">
      <c r="A23" s="4" t="s">
        <v>4</v>
      </c>
      <c r="B23" s="5" t="s">
        <v>5</v>
      </c>
      <c r="C23" s="6" t="s">
        <v>49</v>
      </c>
      <c r="D23" s="43" t="s">
        <v>50</v>
      </c>
    </row>
    <row r="24" spans="1:4" ht="115.95" customHeight="1" x14ac:dyDescent="0.3">
      <c r="A24" s="4" t="s">
        <v>10</v>
      </c>
      <c r="B24" s="5" t="s">
        <v>51</v>
      </c>
      <c r="C24" s="6" t="s">
        <v>51</v>
      </c>
      <c r="D24" s="43" t="s">
        <v>52</v>
      </c>
    </row>
    <row r="25" spans="1:4" ht="118.95" customHeight="1" x14ac:dyDescent="0.3">
      <c r="A25" s="4" t="s">
        <v>10</v>
      </c>
      <c r="B25" s="5" t="s">
        <v>53</v>
      </c>
      <c r="C25" s="6" t="s">
        <v>54</v>
      </c>
      <c r="D25" s="43" t="s">
        <v>55</v>
      </c>
    </row>
    <row r="26" spans="1:4" ht="112.95" customHeight="1" x14ac:dyDescent="0.3">
      <c r="A26" s="4" t="s">
        <v>56</v>
      </c>
      <c r="B26" s="4" t="s">
        <v>56</v>
      </c>
      <c r="C26" s="8" t="s">
        <v>149</v>
      </c>
      <c r="D26" s="43" t="s">
        <v>150</v>
      </c>
    </row>
    <row r="27" spans="1:4" ht="112.95" customHeight="1" x14ac:dyDescent="0.3">
      <c r="A27" s="4" t="s">
        <v>56</v>
      </c>
      <c r="B27" s="4" t="s">
        <v>56</v>
      </c>
      <c r="C27" s="7" t="s">
        <v>57</v>
      </c>
      <c r="D27" s="43" t="s">
        <v>58</v>
      </c>
    </row>
    <row r="28" spans="1:4" ht="86.4" customHeight="1" x14ac:dyDescent="0.3">
      <c r="A28" s="4" t="s">
        <v>59</v>
      </c>
      <c r="B28" s="4" t="s">
        <v>59</v>
      </c>
      <c r="C28" s="6" t="s">
        <v>60</v>
      </c>
      <c r="D28" s="43" t="s">
        <v>151</v>
      </c>
    </row>
    <row r="29" spans="1:4" ht="86.4" customHeight="1" x14ac:dyDescent="0.3">
      <c r="A29" s="4" t="s">
        <v>59</v>
      </c>
      <c r="B29" s="4" t="s">
        <v>59</v>
      </c>
      <c r="C29" s="6" t="s">
        <v>61</v>
      </c>
      <c r="D29" s="43" t="s">
        <v>62</v>
      </c>
    </row>
    <row r="30" spans="1:4" ht="98.4" customHeight="1" x14ac:dyDescent="0.3">
      <c r="A30" s="4" t="s">
        <v>4</v>
      </c>
      <c r="B30" s="5" t="s">
        <v>5</v>
      </c>
      <c r="C30" s="6" t="s">
        <v>63</v>
      </c>
      <c r="D30" s="43" t="s">
        <v>64</v>
      </c>
    </row>
    <row r="31" spans="1:4" ht="127.95" customHeight="1" x14ac:dyDescent="0.3">
      <c r="A31" s="4" t="s">
        <v>10</v>
      </c>
      <c r="B31" s="5" t="s">
        <v>65</v>
      </c>
      <c r="C31" s="6" t="s">
        <v>66</v>
      </c>
      <c r="D31" s="43" t="s">
        <v>67</v>
      </c>
    </row>
    <row r="32" spans="1:4" ht="109.2" customHeight="1" x14ac:dyDescent="0.3">
      <c r="A32" s="4" t="s">
        <v>10</v>
      </c>
      <c r="B32" s="5" t="s">
        <v>68</v>
      </c>
      <c r="C32" s="6" t="s">
        <v>69</v>
      </c>
      <c r="D32" s="43" t="s">
        <v>70</v>
      </c>
    </row>
    <row r="33" spans="1:4" ht="117" customHeight="1" x14ac:dyDescent="0.3">
      <c r="A33" s="4" t="s">
        <v>10</v>
      </c>
      <c r="B33" s="5" t="s">
        <v>71</v>
      </c>
      <c r="C33" s="6" t="s">
        <v>72</v>
      </c>
      <c r="D33" s="43" t="s">
        <v>73</v>
      </c>
    </row>
    <row r="34" spans="1:4" ht="117" customHeight="1" x14ac:dyDescent="0.3">
      <c r="A34" s="4" t="s">
        <v>10</v>
      </c>
      <c r="B34" s="5" t="s">
        <v>74</v>
      </c>
      <c r="C34" s="6" t="s">
        <v>75</v>
      </c>
      <c r="D34" s="43" t="s">
        <v>76</v>
      </c>
    </row>
    <row r="35" spans="1:4" ht="103.95" customHeight="1" x14ac:dyDescent="0.3">
      <c r="A35" s="4" t="s">
        <v>10</v>
      </c>
      <c r="B35" s="4" t="s">
        <v>77</v>
      </c>
      <c r="C35" s="8" t="s">
        <v>78</v>
      </c>
      <c r="D35" s="43" t="s">
        <v>79</v>
      </c>
    </row>
    <row r="36" spans="1:4" ht="103.95" customHeight="1" x14ac:dyDescent="0.3">
      <c r="A36" s="4" t="s">
        <v>10</v>
      </c>
      <c r="B36" s="4" t="s">
        <v>80</v>
      </c>
      <c r="C36" s="8" t="s">
        <v>81</v>
      </c>
      <c r="D36" s="43" t="s">
        <v>82</v>
      </c>
    </row>
    <row r="44" spans="1:4" x14ac:dyDescent="0.3">
      <c r="A44" s="9" t="s">
        <v>83</v>
      </c>
      <c r="B44" s="10" t="s">
        <v>84</v>
      </c>
      <c r="C44" s="11" t="s">
        <v>85</v>
      </c>
    </row>
    <row r="45" spans="1:4" x14ac:dyDescent="0.3">
      <c r="A45" s="3" t="s">
        <v>86</v>
      </c>
      <c r="B45" s="3" t="s">
        <v>87</v>
      </c>
      <c r="C45" s="12" t="s">
        <v>88</v>
      </c>
    </row>
    <row r="46" spans="1:4" x14ac:dyDescent="0.3">
      <c r="A46" s="3" t="s">
        <v>89</v>
      </c>
      <c r="B46" s="3" t="s">
        <v>90</v>
      </c>
      <c r="C46" s="12" t="s">
        <v>91</v>
      </c>
    </row>
    <row r="47" spans="1:4" x14ac:dyDescent="0.3">
      <c r="A47" s="3" t="s">
        <v>92</v>
      </c>
      <c r="B47" s="3" t="s">
        <v>93</v>
      </c>
      <c r="C47" s="12" t="s">
        <v>94</v>
      </c>
    </row>
    <row r="48" spans="1:4" x14ac:dyDescent="0.3">
      <c r="A48" s="3" t="s">
        <v>95</v>
      </c>
      <c r="B48" s="3" t="s">
        <v>47</v>
      </c>
      <c r="C48" s="12" t="s">
        <v>96</v>
      </c>
    </row>
    <row r="49" spans="1:3" x14ac:dyDescent="0.3">
      <c r="A49" s="3" t="s">
        <v>97</v>
      </c>
      <c r="B49" s="3" t="s">
        <v>98</v>
      </c>
      <c r="C49" s="12" t="s">
        <v>99</v>
      </c>
    </row>
    <row r="50" spans="1:3" x14ac:dyDescent="0.3">
      <c r="A50" s="3" t="s">
        <v>100</v>
      </c>
      <c r="B50" s="3" t="s">
        <v>101</v>
      </c>
      <c r="C50" s="12" t="s">
        <v>102</v>
      </c>
    </row>
    <row r="51" spans="1:3" x14ac:dyDescent="0.3">
      <c r="A51" s="3" t="s">
        <v>103</v>
      </c>
      <c r="B51" s="3" t="s">
        <v>92</v>
      </c>
      <c r="C51" s="12" t="s">
        <v>104</v>
      </c>
    </row>
    <row r="52" spans="1:3" x14ac:dyDescent="0.3">
      <c r="A52" s="3" t="s">
        <v>105</v>
      </c>
      <c r="B52" s="3" t="s">
        <v>106</v>
      </c>
      <c r="C52" s="12" t="s">
        <v>107</v>
      </c>
    </row>
    <row r="53" spans="1:3" x14ac:dyDescent="0.3">
      <c r="A53" s="3" t="s">
        <v>108</v>
      </c>
      <c r="B53" s="3" t="s">
        <v>109</v>
      </c>
    </row>
    <row r="54" spans="1:3" x14ac:dyDescent="0.3">
      <c r="B54" s="3" t="s">
        <v>110</v>
      </c>
    </row>
    <row r="55" spans="1:3" x14ac:dyDescent="0.3">
      <c r="B55" s="3" t="s">
        <v>111</v>
      </c>
    </row>
    <row r="56" spans="1:3" x14ac:dyDescent="0.3">
      <c r="B56" s="3" t="s">
        <v>112</v>
      </c>
    </row>
    <row r="57" spans="1:3" x14ac:dyDescent="0.3">
      <c r="B57" s="3" t="s">
        <v>113</v>
      </c>
    </row>
    <row r="58" spans="1:3" x14ac:dyDescent="0.3">
      <c r="B58" s="3" t="s">
        <v>114</v>
      </c>
    </row>
    <row r="59" spans="1:3" x14ac:dyDescent="0.3">
      <c r="B59" s="3" t="s">
        <v>115</v>
      </c>
    </row>
    <row r="60" spans="1:3" x14ac:dyDescent="0.3">
      <c r="B60" s="3" t="s">
        <v>103</v>
      </c>
    </row>
    <row r="61" spans="1:3" x14ac:dyDescent="0.3">
      <c r="B61" s="3" t="s">
        <v>116</v>
      </c>
    </row>
    <row r="62" spans="1:3" x14ac:dyDescent="0.3">
      <c r="B62" s="3" t="s">
        <v>108</v>
      </c>
    </row>
  </sheetData>
  <sortState xmlns:xlrd2="http://schemas.microsoft.com/office/spreadsheetml/2017/richdata2" ref="A4:D36">
    <sortCondition ref="C4:C36"/>
  </sortState>
  <phoneticPr fontId="29"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96AD3-40BB-4B5B-BCE3-BDC553D648D9}">
  <sheetPr>
    <pageSetUpPr fitToPage="1"/>
  </sheetPr>
  <dimension ref="B2:N36"/>
  <sheetViews>
    <sheetView tabSelected="1" workbookViewId="0">
      <selection activeCell="C10" sqref="C10"/>
    </sheetView>
  </sheetViews>
  <sheetFormatPr baseColWidth="10" defaultColWidth="10.6640625" defaultRowHeight="14.4" x14ac:dyDescent="0.3"/>
  <cols>
    <col min="1" max="1" width="4.6640625" style="13" customWidth="1"/>
    <col min="2" max="2" width="14.88671875" style="13" customWidth="1"/>
    <col min="3" max="3" width="16.33203125" style="13" customWidth="1"/>
    <col min="4" max="4" width="18" style="13" customWidth="1"/>
    <col min="5" max="5" width="17.88671875" style="13" customWidth="1"/>
    <col min="6" max="8" width="26.109375" style="13" customWidth="1"/>
    <col min="9" max="10" width="10.6640625" style="13"/>
    <col min="11" max="11" width="32" style="13" customWidth="1"/>
    <col min="12" max="12" width="80.109375" style="13" customWidth="1"/>
    <col min="13" max="16384" width="10.6640625" style="13"/>
  </cols>
  <sheetData>
    <row r="2" spans="2:12" ht="28.95" customHeight="1" x14ac:dyDescent="0.3">
      <c r="C2" s="26" t="s">
        <v>117</v>
      </c>
      <c r="D2" s="27" t="s">
        <v>118</v>
      </c>
      <c r="E2" s="28" t="s">
        <v>119</v>
      </c>
      <c r="F2" s="26" t="s">
        <v>120</v>
      </c>
    </row>
    <row r="3" spans="2:12" x14ac:dyDescent="0.3">
      <c r="C3" s="45">
        <f>COUNTIF(B11:B27,"VERDADERO")</f>
        <v>16</v>
      </c>
      <c r="D3" s="46">
        <f>COUNTIF(I11:I27,"VERDADERO")</f>
        <v>0</v>
      </c>
      <c r="E3" s="47">
        <f>COUNTIF(J11:J27,"VERDADERO")</f>
        <v>0</v>
      </c>
      <c r="F3" s="48">
        <f>_xlfn.PERCENTOF(D3,C3)</f>
        <v>0</v>
      </c>
    </row>
    <row r="4" spans="2:12" x14ac:dyDescent="0.3">
      <c r="C4" s="45"/>
      <c r="D4" s="46"/>
      <c r="E4" s="47"/>
      <c r="F4" s="48"/>
    </row>
    <row r="5" spans="2:12" x14ac:dyDescent="0.3">
      <c r="C5" s="45"/>
      <c r="D5" s="46"/>
      <c r="E5" s="47"/>
      <c r="F5" s="48"/>
    </row>
    <row r="6" spans="2:12" x14ac:dyDescent="0.3">
      <c r="C6" s="45"/>
      <c r="D6" s="46"/>
      <c r="E6" s="47"/>
      <c r="F6" s="48"/>
    </row>
    <row r="8" spans="2:12" ht="21" customHeight="1" x14ac:dyDescent="0.3">
      <c r="B8" s="55" t="s">
        <v>121</v>
      </c>
      <c r="C8" s="56"/>
      <c r="D8" s="56"/>
      <c r="E8" s="56"/>
      <c r="F8" s="56"/>
      <c r="G8" s="56"/>
      <c r="H8" s="57"/>
      <c r="I8" s="49" t="s">
        <v>122</v>
      </c>
      <c r="J8" s="50"/>
      <c r="K8" s="50"/>
      <c r="L8" s="51"/>
    </row>
    <row r="9" spans="2:12" ht="18" customHeight="1" x14ac:dyDescent="0.3">
      <c r="B9" s="58" t="s">
        <v>123</v>
      </c>
      <c r="C9" s="39">
        <v>46309</v>
      </c>
      <c r="D9" s="40" t="s">
        <v>152</v>
      </c>
      <c r="E9" s="37" t="s">
        <v>124</v>
      </c>
      <c r="F9" s="62" t="s">
        <v>91</v>
      </c>
      <c r="G9" s="62"/>
      <c r="H9" s="62"/>
      <c r="I9" s="52"/>
      <c r="J9" s="53"/>
      <c r="K9" s="53"/>
      <c r="L9" s="54"/>
    </row>
    <row r="10" spans="2:12" ht="25.2" customHeight="1" x14ac:dyDescent="0.3">
      <c r="B10" s="59"/>
      <c r="C10" s="36" t="s">
        <v>0</v>
      </c>
      <c r="D10" s="38" t="s">
        <v>1</v>
      </c>
      <c r="E10" s="18" t="s">
        <v>2</v>
      </c>
      <c r="F10" s="60" t="s">
        <v>3</v>
      </c>
      <c r="G10" s="60"/>
      <c r="H10" s="60"/>
      <c r="I10" s="25" t="s">
        <v>125</v>
      </c>
      <c r="J10" s="25" t="s">
        <v>126</v>
      </c>
      <c r="K10" s="25" t="s">
        <v>127</v>
      </c>
      <c r="L10" s="25" t="s">
        <v>128</v>
      </c>
    </row>
    <row r="11" spans="2:12" ht="130.19999999999999" customHeight="1" x14ac:dyDescent="0.3">
      <c r="B11" s="21" t="b">
        <v>1</v>
      </c>
      <c r="C11" s="19" t="s">
        <v>97</v>
      </c>
      <c r="D11" s="19" t="s">
        <v>111</v>
      </c>
      <c r="E11" s="20" t="s">
        <v>8</v>
      </c>
      <c r="F11" s="44" t="str">
        <f>_xlfn.XLOOKUP(E11,Dato!$C$3:$C$36,Dato!$D$3:$D$36,"NO ENCONTRADO")</f>
        <v>Participar de forma aleatoria y alternada en las charlas de inicio de jornada (charlas de 5 minutos) desarrolladas en los distintos terminales y áreas de PVSA, con el fin de mantenerse informado sobre las actividades operativas y sus riesgos asociados. Asimismo, fomentar la participación de los trabajadores mediante el análisis de los peligros presentes en cada proceso, la revisión de la valoración de riesgos y la verificación del conocimiento y aplicación de las medidas de control establecidas en las MIPER, los Estándares de Prevención de Riesgos y Salud Ocupacional y los Procedimientos de Trabajo Seguro vigentes.</v>
      </c>
      <c r="G11" s="44"/>
      <c r="H11" s="44"/>
      <c r="I11" s="14" t="b">
        <v>0</v>
      </c>
      <c r="J11" s="15" t="b">
        <v>0</v>
      </c>
      <c r="K11" s="16"/>
      <c r="L11" s="31"/>
    </row>
    <row r="12" spans="2:12" ht="130.19999999999999" hidden="1" customHeight="1" x14ac:dyDescent="0.3">
      <c r="B12" s="21" t="b">
        <v>0</v>
      </c>
      <c r="C12" s="19" t="s">
        <v>97</v>
      </c>
      <c r="D12" s="19" t="s">
        <v>113</v>
      </c>
      <c r="E12" s="20" t="s">
        <v>39</v>
      </c>
      <c r="F12" s="44" t="str">
        <f>_xlfn.XLOOKUP(E12,Dato!$C$3:$C$36,Dato!$D$3:$D$36,"NO ENCONTRADO")</f>
        <v>Verificar en terreno las actividades asociadas al proceso de embarque de concentrado de cobre en Sitio 2, evaluando el cumplimiento de los procedimientos de trabajo, controles operacionales y medidas de seguridad establecidas para la operación. Verificar la correcta aplicación de controles asociados a la exposición a material particulado, operación de sistemas transportadores, tránsito de equipos móviles, segregación de áreas y control de derrames o pérdidas de material. Asesorar a la línea de supervisión ante desviaciones u observaciones detectadas. Revisar y firmar la charla de inicio de operaciones, verificando que el documento se encuentre correctamente completado y firmado por la totalidad de los trabajadores participantes.</v>
      </c>
      <c r="G12" s="44"/>
      <c r="H12" s="44"/>
      <c r="I12" s="17" t="b">
        <v>0</v>
      </c>
      <c r="J12" s="15" t="b">
        <v>0</v>
      </c>
      <c r="K12" s="16"/>
      <c r="L12" s="31"/>
    </row>
    <row r="13" spans="2:12" ht="130.19999999999999" customHeight="1" x14ac:dyDescent="0.3">
      <c r="B13" s="21" t="b">
        <v>1</v>
      </c>
      <c r="C13" s="19" t="s">
        <v>97</v>
      </c>
      <c r="D13" s="19" t="s">
        <v>114</v>
      </c>
      <c r="E13" s="20" t="s">
        <v>29</v>
      </c>
      <c r="F13" s="44" t="str">
        <f>_xlfn.XLOOKUP(E13,Dato!$C$3:$C$36,Dato!$D$3:$D$36,"NO ENCONTRADO")</f>
        <v>Verificar en terreno las actividades asociadas al proceso de descarga de ceniza de soda en Sitio 3, evaluando el cumplimiento de los procedimientos de trabajo, controles operacionales y medidas de seguridad establecidas para la operación. Verificar la correcta aplicación de controles asociados a la exposición a material particulado, uso de elementos de protección personal y condiciones de trabajo seguras. Asesorar a la línea de supervisión ante desviaciones u observaciones detectadas. Revisar y firmar la charla de inicio de operaciones, verificando que el documento se encuentre correctamente completado y firmado por la totalidad de los trabajadores participantes.</v>
      </c>
      <c r="G13" s="44"/>
      <c r="H13" s="44"/>
      <c r="I13" s="17" t="b">
        <v>0</v>
      </c>
      <c r="J13" s="15" t="b">
        <v>0</v>
      </c>
      <c r="K13" s="16"/>
      <c r="L13" s="31"/>
    </row>
    <row r="14" spans="2:12" ht="130.19999999999999" customHeight="1" x14ac:dyDescent="0.3">
      <c r="B14" s="21" t="b">
        <v>1</v>
      </c>
      <c r="C14" s="19" t="s">
        <v>97</v>
      </c>
      <c r="D14" s="19" t="s">
        <v>115</v>
      </c>
      <c r="E14" s="20" t="s">
        <v>27</v>
      </c>
      <c r="F14" s="44" t="str">
        <f>_xlfn.XLOOKUP(E14,Dato!$C$3:$C$36,Dato!$D$3:$D$36,"NO ENCONTRADO")</f>
        <v>Verificar en terreno las actividades asociadas al proceso de descarga de Cemento en bigbag en sitio 5 del muelle de PVSA, evaluando el cumplimiento de los procedimientos de trabajo, controles operacionales y medidas de seguridad establecidas para la operación. Verificar la correcta aplicación de controles críticos asociados a maniobras de izaje, manipulación de cargas, tránsito de equipos móviles, segregación de áreas e interacción persona-equipo. Asesorar a la línea de supervisión ante desviaciones u observaciones detectadas. Revisar y firmar la charla de inicio de operaciones, verificando que el documento se encuentre correctamente completado y firmado por la totalidad de los trabajadores participantes.</v>
      </c>
      <c r="G14" s="44"/>
      <c r="H14" s="44"/>
      <c r="I14" s="17" t="b">
        <v>0</v>
      </c>
      <c r="J14" s="15" t="b">
        <v>0</v>
      </c>
      <c r="K14" s="41"/>
      <c r="L14" s="31"/>
    </row>
    <row r="15" spans="2:12" ht="130.19999999999999" customHeight="1" x14ac:dyDescent="0.3">
      <c r="B15" s="21" t="b">
        <v>1</v>
      </c>
      <c r="C15" s="19" t="s">
        <v>97</v>
      </c>
      <c r="D15" s="19" t="s">
        <v>116</v>
      </c>
      <c r="E15" s="20" t="s">
        <v>75</v>
      </c>
      <c r="F15" s="44" t="str">
        <f>_xlfn.XLOOKUP(E15,Dato!$C$3:$C$36,Dato!$D$3:$D$36,"NO ENCONTRADO")</f>
        <v>Verificar en terreno las actividades asociadas a la recepción y acopio de cemento en bigbag,  en el Terminal de granos limpios, evaluando el cumplimiento de los procedimientos de trabajo, controles operacionales y medidas de seguridad establecidas. Verificar la correcta aplicación de controles asociados a la generación de material particulado,  tránsito de equipos móviles, interacción persona-equipo, segregación de áreas y condiciones seguras de operación. Asesorar a la línea de supervisión ante desviaciones u observaciones detectadas. Revisar y firmar la charla de inicio de operaciones, verificando que el documento se encuentre correctamente completado y firmado por la totalidad de los trabajadores participantes.</v>
      </c>
      <c r="G15" s="44"/>
      <c r="H15" s="44"/>
      <c r="I15" s="17" t="b">
        <v>0</v>
      </c>
      <c r="J15" s="15" t="b">
        <v>0</v>
      </c>
      <c r="K15" s="33"/>
      <c r="L15" s="31"/>
    </row>
    <row r="16" spans="2:12" ht="130.19999999999999" customHeight="1" x14ac:dyDescent="0.3">
      <c r="B16" s="21" t="b">
        <v>1</v>
      </c>
      <c r="C16" s="19" t="s">
        <v>97</v>
      </c>
      <c r="D16" s="19" t="s">
        <v>90</v>
      </c>
      <c r="E16" s="20" t="s">
        <v>78</v>
      </c>
      <c r="F16" s="44" t="str">
        <f>_xlfn.XLOOKUP(E16,Dato!$C$3:$C$36,Dato!$D$3:$D$36,"NO ENCONTRADO")</f>
        <v>Verificar en terreno las actividades asociadas al proceso de recepción, descarga y/o despacho de acero (fierro estriado, bobinas y palanquillas) en instalaciones de Terquim, evaluando el cumplimiento de los procedimientos de trabajo, controles operacionales y medidas de seguridad establecidas para la operación. Verificar la correcta aplicación de controles críticos asociados a maniobras de izaje, manipulación de cargas, tránsito de equipos móviles, segregación de áreas e interacción persona-equipo. Asesorar a la línea de supervisión ante desviaciones u observaciones detectadas. Revisar y firmar la charla de inicio de operaciones, verificando que el documento se encuentre correctamente completado y firmado por la totalidad de los trabajadores participantes.</v>
      </c>
      <c r="G16" s="44"/>
      <c r="H16" s="44"/>
      <c r="I16" s="17" t="b">
        <v>0</v>
      </c>
      <c r="J16" s="15" t="b">
        <v>0</v>
      </c>
      <c r="L16" s="31"/>
    </row>
    <row r="17" spans="2:14" ht="130.19999999999999" customHeight="1" x14ac:dyDescent="0.3">
      <c r="B17" s="21" t="b">
        <v>1</v>
      </c>
      <c r="C17" s="19" t="s">
        <v>97</v>
      </c>
      <c r="D17" s="19" t="s">
        <v>110</v>
      </c>
      <c r="E17" s="20" t="s">
        <v>54</v>
      </c>
      <c r="F17" s="44" t="str">
        <f>_xlfn.XLOOKUP(E17,Dato!$C$3:$C$36,Dato!$D$3:$D$36,"NO ENCONTRADO")</f>
        <v>Verificar en terreno las actividades desarrolladas por los operadores de maquinaria pesada durante el turno, evaluando el cumplimiento de los procedimientos de trabajo, controles operacionales y medidas de seguridad establecidas para la operación de equipos móviles. Verificar la correcta aplicación de controles asociados a inspecciones preoperacionales, tránsito interno, interacción persona-equipo, segregación de áreas de trabajo, uso de elementos de protección personal y cumplimiento de las normas de conducción segura. Asesorar a la línea de supervisión ante desviaciones u observaciones detectadas. Revisar y firmar la charla de inicio de operaciones, verificando que el documento se encuentre correctamente completado y firmado por la totalidad de los trabajadores participantes.</v>
      </c>
      <c r="G17" s="44"/>
      <c r="H17" s="44"/>
      <c r="I17" s="17" t="b">
        <v>0</v>
      </c>
      <c r="J17" s="15" t="b">
        <v>0</v>
      </c>
      <c r="K17" s="16"/>
      <c r="L17" s="31"/>
    </row>
    <row r="18" spans="2:14" ht="130.19999999999999" customHeight="1" x14ac:dyDescent="0.3">
      <c r="B18" s="21" t="b">
        <v>1</v>
      </c>
      <c r="C18" s="19" t="s">
        <v>97</v>
      </c>
      <c r="D18" s="19" t="s">
        <v>93</v>
      </c>
      <c r="E18" s="20" t="s">
        <v>12</v>
      </c>
      <c r="F18" s="44" t="str">
        <f>_xlfn.XLOOKUP(E18,Dato!$C$3:$C$36,Dato!$D$3:$D$36,"NO ENCONTRADO")</f>
        <v>Verificar en terreno las actividades desarrolladas por el personal asignado a Control de Tránsito durante el turno, evaluando el cumplimiento de los procedimientos de trabajo, medidas de seguridad y controles operacionales establecidos. Revisar y firmar la charla de inicio de operaciones, verificando que el registro se encuentre correctamente completado y firmado por la totalidad de los trabajadores participantes.</v>
      </c>
      <c r="G18" s="44"/>
      <c r="H18" s="44"/>
      <c r="I18" s="17" t="b">
        <v>0</v>
      </c>
      <c r="J18" s="15" t="b">
        <v>0</v>
      </c>
      <c r="K18" s="16"/>
      <c r="L18" s="31"/>
    </row>
    <row r="19" spans="2:14" ht="130.19999999999999" customHeight="1" x14ac:dyDescent="0.3">
      <c r="B19" s="21" t="b">
        <v>1</v>
      </c>
      <c r="C19" s="19" t="s">
        <v>97</v>
      </c>
      <c r="D19" s="19" t="s">
        <v>106</v>
      </c>
      <c r="E19" s="20" t="s">
        <v>51</v>
      </c>
      <c r="F19" s="44" t="str">
        <f>_xlfn.XLOOKUP(E19,Dato!$C$3:$C$36,Dato!$D$3:$D$36,"NO ENCONTRADO")</f>
        <v>Verificar en terreno las actividades desarrolladas por el personal asignado como materialero y pañolero de operaciones durante el turno, evaluando el cumplimiento de los procedimientos de trabajo, controles operacionales y medidas de seguridad aplicables a la recepción, entrega, almacenamiento y control de materiales, herramientas y equipos. Verificar el orden y la limpieza de las instalaciones, las condiciones de almacenamiento y la correcta utilización de los elementos de protección personal. Asesorar a la línea de supervisión ante desviaciones u observaciones detectadas. Revisar y firmar la charla de inicio de operaciones, verificando que el documento se encuentre correctamente completado y firmado por la totalidad de los trabajadores participantes.</v>
      </c>
      <c r="G19" s="44"/>
      <c r="H19" s="44"/>
      <c r="I19" s="17" t="b">
        <v>0</v>
      </c>
      <c r="J19" s="15" t="b">
        <v>0</v>
      </c>
      <c r="K19" s="16"/>
      <c r="L19" s="30"/>
    </row>
    <row r="20" spans="2:14" ht="130.19999999999999" customHeight="1" x14ac:dyDescent="0.3">
      <c r="B20" s="21" t="b">
        <v>1</v>
      </c>
      <c r="C20" s="19" t="s">
        <v>92</v>
      </c>
      <c r="D20" s="19" t="s">
        <v>111</v>
      </c>
      <c r="E20" s="20" t="s">
        <v>149</v>
      </c>
      <c r="F20" s="44" t="str">
        <f>_xlfn.XLOOKUP(E20,Dato!$C$3:$C$36,Dato!$D$3:$D$36,"NO ENCONTRADO")</f>
        <v>Verificar en terreno las actividades programadas para la jornada, por el equipo de electromcánicos, evaluando el cumplimiento de los procedimientos de trabajo, permisos asociados, controles operacionales y medidas de seguridad establecidas para las tareas a ejecutar. Verificar la correcta aplicación de controles críticos relacionados con bloqueo y etiquetado de energías (LOTO), trabajos en altura, espacios confinados, trabajos en caliente, izaje de cargas y uso de herramientas y equipos. Asesorar a la línea de supervisión ante desviaciones u observaciones detectadas. Revisar y firmar la charla de inicio de operaciones, verificando que el documento se encuentre correctamente completado y firmado por la totalidad de los trabajadores participantes.</v>
      </c>
      <c r="G20" s="44"/>
      <c r="H20" s="44"/>
      <c r="I20" s="17" t="b">
        <v>0</v>
      </c>
      <c r="J20" s="15" t="b">
        <v>0</v>
      </c>
      <c r="K20" s="16"/>
      <c r="L20" s="35"/>
      <c r="M20" s="29"/>
      <c r="N20" s="29"/>
    </row>
    <row r="21" spans="2:14" ht="130.19999999999999" customHeight="1" x14ac:dyDescent="0.3">
      <c r="B21" s="21" t="b">
        <v>1</v>
      </c>
      <c r="C21" s="19" t="s">
        <v>92</v>
      </c>
      <c r="D21" s="19" t="s">
        <v>111</v>
      </c>
      <c r="E21" s="20" t="s">
        <v>57</v>
      </c>
      <c r="F21" s="44" t="str">
        <f>_xlfn.XLOOKUP(E21,Dato!$C$3:$C$36,Dato!$D$3:$D$36,"NO ENCONTRADO")</f>
        <v>Verificar en terreno las actividades de mantenimiento programadas para la jornada, evaluando el cumplimiento de los procedimientos de trabajo, permisos asociados, controles operacionales y medidas de seguridad establecidas para las tareas a ejecutar. Verificar la correcta aplicación de controles críticos relacionados con bloqueo y etiquetado de energías (LOTO), trabajos en altura, espacios confinados, trabajos en caliente, izaje de cargas y uso de herramientas y equipos. Asesorar a la línea de supervisión ante desviaciones u observaciones detectadas. Revisar y firmar la charla de inicio de operaciones, verificando que el documento se encuentre correctamente completado y firmado por la totalidad de los trabajadores participantes.</v>
      </c>
      <c r="G21" s="44"/>
      <c r="H21" s="44"/>
      <c r="I21" s="17" t="b">
        <v>0</v>
      </c>
      <c r="J21" s="15" t="b">
        <v>0</v>
      </c>
      <c r="K21" s="16"/>
      <c r="L21" s="35"/>
      <c r="M21" s="29"/>
      <c r="N21" s="29"/>
    </row>
    <row r="22" spans="2:14" ht="130.19999999999999" customHeight="1" x14ac:dyDescent="0.3">
      <c r="B22" s="21" t="b">
        <v>1</v>
      </c>
      <c r="C22" s="19" t="s">
        <v>103</v>
      </c>
      <c r="D22" s="19" t="s">
        <v>103</v>
      </c>
      <c r="E22" s="20" t="s">
        <v>66</v>
      </c>
      <c r="F22" s="44" t="str">
        <f>_xlfn.XLOOKUP(E22,Dato!$C$3:$C$36,Dato!$D$3:$D$36,"NO ENCONTRADO")</f>
        <v>Verificar en terreno las actividades asociadas a la recepción y/o embarque de concentrado de cobre, u otras operaciones que se encuentren en ejecución en Terminal Costa, evaluando el cumplimiento de los procedimientos de trabajo, controles operacionales y medidas de seguridad establecidas. Verificar la correcta aplicación de controles asociados a la exposición a material particulado, tránsito de equipos móviles, interacción persona-equipo, segregación de áreas, control de derrames y condiciones de trabajo seguras. Asesorar a la línea de supervisión ante desviaciones u observaciones detectadas. Revisar y firmar la charla de inicio de operaciones, verificando que el documento se encuentre correctamente completado y firmado por la totalidad de los trabajadores participantes.</v>
      </c>
      <c r="G22" s="44"/>
      <c r="H22" s="44"/>
      <c r="I22" s="17" t="b">
        <v>0</v>
      </c>
      <c r="J22" s="15" t="b">
        <v>0</v>
      </c>
      <c r="K22" s="32"/>
      <c r="L22" s="31"/>
    </row>
    <row r="23" spans="2:14" ht="130.19999999999999" customHeight="1" x14ac:dyDescent="0.3">
      <c r="B23" s="21" t="b">
        <v>1</v>
      </c>
      <c r="C23" s="19" t="s">
        <v>105</v>
      </c>
      <c r="D23" s="19" t="s">
        <v>116</v>
      </c>
      <c r="E23" s="20" t="s">
        <v>69</v>
      </c>
      <c r="F23" s="44" t="str">
        <f>_xlfn.XLOOKUP(E23,Dato!$C$3:$C$36,Dato!$D$3:$D$36,"NO ENCONTRADO")</f>
        <v>Verificar en terreno las actividades asociadas a la recepción y/o despacho de granos, así como otras operaciones que se encuentren en ejecución en el Terminal de Granos Limpios, evaluando el cumplimiento de los procedimientos de trabajo, controles operacionales y medidas de seguridad establecidas. Verificar la correcta aplicación de controles asociados a la operación de sistemas transportadores, generación de polvo, tránsito de equipos móviles, interacción persona-equipo, orden y limpieza de las áreas de trabajo y condiciones seguras de operación. Asesorar a la línea de supervisión ante desviaciones u observaciones detectadas. Revisar y firmar la charla de inicio de operaciones, verificando que el documento se encuentre correctamente completado y firmado por la totalidad de los trabajadores participantes.</v>
      </c>
      <c r="G23" s="44"/>
      <c r="H23" s="44"/>
      <c r="I23" s="17" t="b">
        <v>0</v>
      </c>
      <c r="J23" s="15" t="b">
        <v>0</v>
      </c>
      <c r="K23" s="32"/>
      <c r="L23" s="31"/>
    </row>
    <row r="24" spans="2:14" ht="130.19999999999999" customHeight="1" x14ac:dyDescent="0.3">
      <c r="B24" s="21" t="b">
        <v>1</v>
      </c>
      <c r="C24" s="19" t="s">
        <v>108</v>
      </c>
      <c r="D24" s="19" t="s">
        <v>108</v>
      </c>
      <c r="E24" s="20" t="s">
        <v>72</v>
      </c>
      <c r="F24" s="44" t="str">
        <f>_xlfn.XLOOKUP(E24,Dato!$C$3:$C$36,Dato!$D$3:$D$36,"NO ENCONTRADO")</f>
        <v>Verificar en terreno las actividades asociadas a la recepción y/o despacho de petcoke y ceniza de soda, así como otras operaciones que se encuentren en ejecución en el Terminal Multicarga, evaluando el cumplimiento de los procedimientos de trabajo, controles operacionales y medidas de seguridad establecidas. Verificar la correcta aplicación de controles asociados a la generación de material particulado, exposición a sustancias químicas, tránsito de equipos móviles, interacción persona-equipo, segregación de áreas y condiciones seguras de operación. Asesorar a la línea de supervisión ante desviaciones u observaciones detectadas. Revisar y firmar la charla de inicio de operaciones, verificando que el documento se encuentre correctamente completado y firmado por la totalidad de los trabajadores participantes.</v>
      </c>
      <c r="G24" s="44"/>
      <c r="H24" s="44"/>
      <c r="I24" s="17" t="b">
        <v>0</v>
      </c>
      <c r="J24" s="15" t="b">
        <v>0</v>
      </c>
      <c r="K24" s="34"/>
      <c r="L24" s="31"/>
    </row>
    <row r="25" spans="2:14" ht="130.19999999999999" customHeight="1" x14ac:dyDescent="0.3">
      <c r="B25" s="21" t="b">
        <v>1</v>
      </c>
      <c r="C25" s="19" t="s">
        <v>100</v>
      </c>
      <c r="D25" s="19" t="s">
        <v>101</v>
      </c>
      <c r="E25" s="20" t="s">
        <v>60</v>
      </c>
      <c r="F25" s="44" t="str">
        <f>_xlfn.XLOOKUP(E25,Dato!$C$3:$C$36,Dato!$D$3:$D$36,"NO ENCONTRADO")</f>
        <v>Gestionar y ejecutar las capacitaciones programadas del mes, de acuerdo con la disponibilidad operacional del personal y los lineamientos establecidos en el D-008-PR Programa de Entrenamiento de Prevención de Riesgos y Salud Ocupacional. Coordinar la participación de los trabajadores, verificar la correcta realización de las actividades formativas, registrar la asistencia y mantener la evidencia documental correspondiente. 
Capacitación del Mes: ENTRENAMIENTO BÁSICO DE CONTROL DE DERRAMES   - RIESGOS Y MEDIDAS PREVENTIVAS PARA TRABAJOS EN ALTURA - SALUD OCUPACIONAL RADIACIÓN UV DE ORIGEN SOLAR</v>
      </c>
      <c r="G25" s="44"/>
      <c r="H25" s="44"/>
      <c r="I25" s="17" t="b">
        <v>0</v>
      </c>
      <c r="J25" s="15" t="b">
        <v>0</v>
      </c>
      <c r="K25" s="16"/>
      <c r="L25" s="42"/>
    </row>
    <row r="26" spans="2:14" ht="130.19999999999999" customHeight="1" x14ac:dyDescent="0.3">
      <c r="B26" s="21" t="b">
        <v>1</v>
      </c>
      <c r="C26" s="19" t="s">
        <v>100</v>
      </c>
      <c r="D26" s="19" t="s">
        <v>101</v>
      </c>
      <c r="E26" s="20" t="s">
        <v>63</v>
      </c>
      <c r="F26" s="44" t="str">
        <f>_xlfn.XLOOKUP(E26,Dato!$C$3:$C$36,Dato!$D$3:$D$36,"NO ENCONTRADO")</f>
        <v>Gestionar y ejecutar, de acuerdo con la disponibilidad operacional del turno, las actividades definidas en el Programa Personalizado de Prevención de Riesgos y Salud Ocupacional, verificando el cumplimiento de los compromisos, acciones preventivas, inspecciones, observaciones de conducta, capacitaciones y demás actividades establecidas en la planificación. Registrar el avance de las actividades ejecutadas y asesorar a la supervisión en la implementación de medidas orientadas al control de riesgos y la mejora continua del desempeño en seguridad y salud ocupacional.</v>
      </c>
      <c r="G26" s="44"/>
      <c r="H26" s="44"/>
      <c r="I26" s="17" t="b">
        <v>0</v>
      </c>
      <c r="J26" s="15" t="b">
        <v>0</v>
      </c>
      <c r="K26" s="16"/>
      <c r="L26" s="31"/>
    </row>
    <row r="27" spans="2:14" ht="130.19999999999999" customHeight="1" x14ac:dyDescent="0.3">
      <c r="B27" s="21" t="b">
        <v>1</v>
      </c>
      <c r="C27" s="19" t="s">
        <v>100</v>
      </c>
      <c r="D27" s="19" t="s">
        <v>47</v>
      </c>
      <c r="E27" s="20" t="s">
        <v>47</v>
      </c>
      <c r="F27" s="44" t="str">
        <f>_xlfn.XLOOKUP(E27,Dato!$C$3:$C$36,Dato!$D$3:$D$36,"NO ENCONTRADO")</f>
        <v>Concurrir de forma inmediata e impostergable a toda emergencia que se produzca durante su turno en las instalaciones de PVSA y que afecte o pueda afectar a las personas, el medio ambiente o los activos de la compañía, asumiendo la respuesta inicial y el control del evento mediante la activación de los planes de emergencia y procedimientos vigentes.</v>
      </c>
      <c r="G27" s="44"/>
      <c r="H27" s="44"/>
      <c r="I27" s="17" t="b">
        <v>0</v>
      </c>
      <c r="J27" s="15" t="b">
        <v>0</v>
      </c>
      <c r="K27" s="16"/>
      <c r="L27" s="31"/>
    </row>
    <row r="28" spans="2:14" ht="14.4" customHeight="1" x14ac:dyDescent="0.3">
      <c r="B28"/>
      <c r="C28" s="63" t="s">
        <v>129</v>
      </c>
      <c r="D28" s="63"/>
      <c r="E28" s="63"/>
      <c r="F28" s="63"/>
      <c r="G28" s="63"/>
      <c r="H28" s="63"/>
    </row>
    <row r="29" spans="2:14" ht="16.95" customHeight="1" x14ac:dyDescent="0.3">
      <c r="B29"/>
      <c r="C29" s="63" t="s">
        <v>130</v>
      </c>
      <c r="D29" s="63"/>
      <c r="E29" s="63"/>
      <c r="F29" s="63"/>
      <c r="G29" s="63"/>
      <c r="H29" s="63"/>
    </row>
    <row r="30" spans="2:14" x14ac:dyDescent="0.3">
      <c r="B30"/>
      <c r="C30" s="22" t="s">
        <v>131</v>
      </c>
      <c r="D30" s="22" t="s">
        <v>132</v>
      </c>
      <c r="E30" s="22" t="s">
        <v>133</v>
      </c>
      <c r="F30" s="22" t="s">
        <v>134</v>
      </c>
      <c r="G30" s="64" t="s">
        <v>135</v>
      </c>
      <c r="H30" s="64"/>
    </row>
    <row r="31" spans="2:14" ht="30.6" x14ac:dyDescent="0.3">
      <c r="B31"/>
      <c r="C31" s="65" t="s">
        <v>136</v>
      </c>
      <c r="D31" s="23" t="s">
        <v>137</v>
      </c>
      <c r="E31" s="61" t="s">
        <v>138</v>
      </c>
      <c r="F31" s="24">
        <v>4</v>
      </c>
      <c r="G31" s="61" t="s">
        <v>139</v>
      </c>
      <c r="H31" s="61"/>
    </row>
    <row r="32" spans="2:14" ht="20.399999999999999" x14ac:dyDescent="0.3">
      <c r="B32"/>
      <c r="C32" s="65"/>
      <c r="D32" s="23" t="s">
        <v>140</v>
      </c>
      <c r="E32" s="61"/>
      <c r="F32" s="24">
        <v>4</v>
      </c>
      <c r="G32" s="61" t="s">
        <v>141</v>
      </c>
      <c r="H32" s="61"/>
    </row>
    <row r="33" spans="2:8" ht="20.399999999999999" x14ac:dyDescent="0.3">
      <c r="B33"/>
      <c r="C33" s="65"/>
      <c r="D33" s="23" t="s">
        <v>142</v>
      </c>
      <c r="E33" s="61"/>
      <c r="F33" s="24">
        <v>4</v>
      </c>
      <c r="G33" s="61" t="s">
        <v>143</v>
      </c>
      <c r="H33" s="61"/>
    </row>
    <row r="34" spans="2:8" ht="20.399999999999999" x14ac:dyDescent="0.3">
      <c r="B34"/>
      <c r="C34" s="65"/>
      <c r="D34" s="23" t="s">
        <v>144</v>
      </c>
      <c r="E34" s="61"/>
      <c r="F34" s="24">
        <v>4</v>
      </c>
      <c r="G34" s="61" t="s">
        <v>145</v>
      </c>
      <c r="H34" s="61"/>
    </row>
    <row r="35" spans="2:8" x14ac:dyDescent="0.3">
      <c r="B35"/>
      <c r="C35" s="65"/>
      <c r="D35" s="23"/>
      <c r="E35" s="24"/>
      <c r="F35" s="24"/>
      <c r="G35" s="24"/>
      <c r="H35" s="24"/>
    </row>
    <row r="36" spans="2:8" ht="40.799999999999997" x14ac:dyDescent="0.3">
      <c r="B36"/>
      <c r="C36" s="65"/>
      <c r="D36" s="23" t="s">
        <v>146</v>
      </c>
      <c r="E36" s="24" t="s">
        <v>147</v>
      </c>
      <c r="F36" s="24" t="s">
        <v>148</v>
      </c>
      <c r="G36" s="61" t="s">
        <v>143</v>
      </c>
      <c r="H36" s="61"/>
    </row>
  </sheetData>
  <sheetProtection selectLockedCells="1" pivotTables="0" selectUnlockedCells="1"/>
  <mergeCells count="36">
    <mergeCell ref="G34:H34"/>
    <mergeCell ref="G36:H36"/>
    <mergeCell ref="F9:H9"/>
    <mergeCell ref="F14:H14"/>
    <mergeCell ref="F16:H16"/>
    <mergeCell ref="F15:H15"/>
    <mergeCell ref="F25:H25"/>
    <mergeCell ref="F27:H27"/>
    <mergeCell ref="C28:H28"/>
    <mergeCell ref="C29:H29"/>
    <mergeCell ref="G30:H30"/>
    <mergeCell ref="C31:C36"/>
    <mergeCell ref="E31:E34"/>
    <mergeCell ref="G31:H31"/>
    <mergeCell ref="G32:H32"/>
    <mergeCell ref="G33:H33"/>
    <mergeCell ref="I8:L9"/>
    <mergeCell ref="B8:H8"/>
    <mergeCell ref="B9:B10"/>
    <mergeCell ref="F24:H24"/>
    <mergeCell ref="F10:H10"/>
    <mergeCell ref="F11:H11"/>
    <mergeCell ref="F17:H17"/>
    <mergeCell ref="F18:H18"/>
    <mergeCell ref="F19:H19"/>
    <mergeCell ref="F21:H21"/>
    <mergeCell ref="F22:H22"/>
    <mergeCell ref="F23:H23"/>
    <mergeCell ref="F13:H13"/>
    <mergeCell ref="F12:H12"/>
    <mergeCell ref="F20:H20"/>
    <mergeCell ref="F26:H26"/>
    <mergeCell ref="C3:C6"/>
    <mergeCell ref="D3:D6"/>
    <mergeCell ref="E3:E6"/>
    <mergeCell ref="F3:F6"/>
  </mergeCells>
  <phoneticPr fontId="29" type="noConversion"/>
  <conditionalFormatting sqref="F3:F6">
    <cfRule type="cellIs" dxfId="2" priority="1" operator="greaterThanOrEqual">
      <formula>0.75</formula>
    </cfRule>
    <cfRule type="cellIs" dxfId="1" priority="2" operator="between">
      <formula>0.33</formula>
      <formula>0.75</formula>
    </cfRule>
    <cfRule type="cellIs" dxfId="0" priority="3" operator="lessThan">
      <formula>0.33</formula>
    </cfRule>
  </conditionalFormatting>
  <pageMargins left="0.70866141732283472" right="0.70866141732283472" top="0.74803149606299213" bottom="0.74803149606299213" header="0.31496062992125984" footer="0.31496062992125984"/>
  <pageSetup scale="38" orientation="portrait" r:id="rId1"/>
  <drawing r:id="rId2"/>
  <extLst>
    <ext xmlns:x14="http://schemas.microsoft.com/office/spreadsheetml/2009/9/main" uri="{CCE6A557-97BC-4b89-ADB6-D9C93CAAB3DF}">
      <x14:dataValidations xmlns:xm="http://schemas.microsoft.com/office/excel/2006/main" count="4">
        <x14:dataValidation type="list" allowBlank="1" showInputMessage="1" showErrorMessage="1" xr:uid="{CD1AC5A6-E84A-4058-93D1-0A11D203302A}">
          <x14:formula1>
            <xm:f>Dato!$C$44:$C$52</xm:f>
          </x14:formula1>
          <xm:sqref>F9</xm:sqref>
        </x14:dataValidation>
        <x14:dataValidation type="list" allowBlank="1" showInputMessage="1" showErrorMessage="1" xr:uid="{81AFF3D6-8671-437C-A50E-38FA60BAFCB8}">
          <x14:formula1>
            <xm:f>Dato!$B$44:$B$62</xm:f>
          </x14:formula1>
          <xm:sqref>D11:D27</xm:sqref>
        </x14:dataValidation>
        <x14:dataValidation type="list" allowBlank="1" showInputMessage="1" showErrorMessage="1" xr:uid="{9B398A65-7A32-4F3E-AC2C-C6AF43285BC0}">
          <x14:formula1>
            <xm:f>Dato!$A$44:$A$54</xm:f>
          </x14:formula1>
          <xm:sqref>C11:C27</xm:sqref>
        </x14:dataValidation>
        <x14:dataValidation type="list" allowBlank="1" showInputMessage="1" showErrorMessage="1" xr:uid="{D4C5BD12-E6F7-41A6-BF12-54534F3BD4D8}">
          <x14:formula1>
            <xm:f>Dato!$C$4:$C$36</xm:f>
          </x14:formula1>
          <xm:sqref>E11:E27</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Dato</vt:lpstr>
      <vt:lpstr>1ro</vt:lpstr>
      <vt:lpstr>'1ro'!Área_de_impresión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Andres Burgos</dc:creator>
  <cp:keywords/>
  <dc:description/>
  <cp:lastModifiedBy>Andres Burgos</cp:lastModifiedBy>
  <cp:revision/>
  <dcterms:created xsi:type="dcterms:W3CDTF">2026-06-18T16:58:32Z</dcterms:created>
  <dcterms:modified xsi:type="dcterms:W3CDTF">2026-10-14T14:11:02Z</dcterms:modified>
  <cp:category/>
  <cp:contentStatus/>
</cp:coreProperties>
</file>